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B0C870C4-65A6-4A76-BF04-2EC5A82BBC40}" xr6:coauthVersionLast="47" xr6:coauthVersionMax="47" xr10:uidLastSave="{00000000-0000-0000-0000-000000000000}"/>
  <bookViews>
    <workbookView xWindow="-32470" yWindow="2320" windowWidth="29240" windowHeight="18690" tabRatio="749" xr2:uid="{1EA7D4BC-0E71-467A-81F4-8371BAA0CFDB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6" l="1"/>
  <c r="H6" i="6"/>
  <c r="H7" i="6"/>
  <c r="H8" i="6"/>
  <c r="H9" i="6"/>
  <c r="H10" i="6"/>
  <c r="H11" i="6"/>
  <c r="H12" i="6"/>
  <c r="H13" i="6"/>
  <c r="H14" i="6"/>
  <c r="H15" i="6"/>
  <c r="H4" i="6"/>
  <c r="F5" i="6"/>
  <c r="F6" i="6"/>
  <c r="F7" i="6"/>
  <c r="F8" i="6"/>
  <c r="F9" i="6"/>
  <c r="F10" i="6"/>
  <c r="F11" i="6"/>
  <c r="F12" i="6"/>
  <c r="F13" i="6"/>
  <c r="F14" i="6"/>
  <c r="F15" i="6"/>
  <c r="F4" i="6"/>
  <c r="G5" i="6" l="1"/>
  <c r="G6" i="6"/>
  <c r="G7" i="6"/>
  <c r="G8" i="6"/>
  <c r="G9" i="6"/>
  <c r="G10" i="6"/>
  <c r="G11" i="6"/>
  <c r="G12" i="6"/>
  <c r="G13" i="6"/>
  <c r="G14" i="6"/>
  <c r="G15" i="6"/>
  <c r="G4" i="6"/>
  <c r="F5" i="3"/>
  <c r="H5" i="3" s="1"/>
  <c r="G5" i="3"/>
  <c r="F6" i="3"/>
  <c r="G6" i="3"/>
  <c r="H6" i="3"/>
  <c r="F7" i="3"/>
  <c r="H7" i="3" s="1"/>
  <c r="G7" i="3"/>
  <c r="F8" i="3"/>
  <c r="H8" i="3" s="1"/>
  <c r="G8" i="3"/>
  <c r="F9" i="3"/>
  <c r="G9" i="3"/>
  <c r="H9" i="3" s="1"/>
  <c r="F10" i="3"/>
  <c r="H10" i="3" s="1"/>
  <c r="G10" i="3"/>
  <c r="F11" i="3"/>
  <c r="H11" i="3" s="1"/>
  <c r="G11" i="3"/>
  <c r="F12" i="3"/>
  <c r="G12" i="3"/>
  <c r="H12" i="3"/>
  <c r="F13" i="3"/>
  <c r="G13" i="3"/>
  <c r="H13" i="3" s="1"/>
  <c r="H4" i="3"/>
  <c r="G4" i="3"/>
  <c r="F4" i="3"/>
</calcChain>
</file>

<file path=xl/sharedStrings.xml><?xml version="1.0" encoding="utf-8"?>
<sst xmlns="http://schemas.openxmlformats.org/spreadsheetml/2006/main" count="379" uniqueCount="246">
  <si>
    <t>볼펜</t>
  </si>
  <si>
    <t>네임펜</t>
    <phoneticPr fontId="1" type="noConversion"/>
  </si>
  <si>
    <t>한국상사의 상품매입현황</t>
    <phoneticPr fontId="1" type="noConversion"/>
  </si>
  <si>
    <t>포스트잇</t>
    <phoneticPr fontId="1" type="noConversion"/>
  </si>
  <si>
    <t>[표1]</t>
  </si>
  <si>
    <t>사원 관리 현황</t>
  </si>
  <si>
    <t>기준일 :</t>
  </si>
  <si>
    <t>사원명</t>
  </si>
  <si>
    <t>부서명</t>
  </si>
  <si>
    <t>입사일자</t>
  </si>
  <si>
    <t>근무</t>
  </si>
  <si>
    <t>나영희</t>
  </si>
  <si>
    <t>생산부</t>
  </si>
  <si>
    <t>박시영</t>
  </si>
  <si>
    <t>임영아</t>
  </si>
  <si>
    <t>영업부</t>
  </si>
  <si>
    <t>안효동</t>
  </si>
  <si>
    <t>이신세</t>
  </si>
  <si>
    <t>기획부</t>
  </si>
  <si>
    <t>강진성</t>
  </si>
  <si>
    <t>[표2]</t>
  </si>
  <si>
    <t>근무자료</t>
  </si>
  <si>
    <t>성명</t>
  </si>
  <si>
    <t>본봉총액</t>
  </si>
  <si>
    <t>수당</t>
  </si>
  <si>
    <t>상여급</t>
  </si>
  <si>
    <t>갈석근</t>
  </si>
  <si>
    <t>임원실</t>
  </si>
  <si>
    <t>김원택</t>
  </si>
  <si>
    <t>기술부</t>
  </si>
  <si>
    <t>목공순</t>
  </si>
  <si>
    <t>관리부</t>
  </si>
  <si>
    <t>박원점</t>
  </si>
  <si>
    <t>염옥희</t>
  </si>
  <si>
    <t>우명덕</t>
  </si>
  <si>
    <t>상여급 평균</t>
  </si>
  <si>
    <t>우산해</t>
  </si>
  <si>
    <t xml:space="preserve">[표4] </t>
  </si>
  <si>
    <t>완구류 매출</t>
  </si>
  <si>
    <t>제품코드</t>
  </si>
  <si>
    <t>품명</t>
  </si>
  <si>
    <t>판매량</t>
  </si>
  <si>
    <t>판매금액</t>
  </si>
  <si>
    <t>Y201K</t>
  </si>
  <si>
    <t>곰인형</t>
  </si>
  <si>
    <t>B450N</t>
  </si>
  <si>
    <t>놀이동산</t>
  </si>
  <si>
    <t>Y203D</t>
  </si>
  <si>
    <t>딸랑이</t>
  </si>
  <si>
    <t>Y012G</t>
  </si>
  <si>
    <t>꼬마인형</t>
  </si>
  <si>
    <t>Y305K</t>
  </si>
  <si>
    <t>Y365Y</t>
  </si>
  <si>
    <t>우유병</t>
  </si>
  <si>
    <t>B304N</t>
  </si>
  <si>
    <t>B123D</t>
  </si>
  <si>
    <t>[표5]</t>
  </si>
  <si>
    <t>미수금 현황</t>
  </si>
  <si>
    <t>거래처명</t>
  </si>
  <si>
    <t>품목명</t>
  </si>
  <si>
    <t>수량</t>
  </si>
  <si>
    <t>고려화학</t>
  </si>
  <si>
    <t>Blue</t>
  </si>
  <si>
    <t>명지페인트</t>
  </si>
  <si>
    <t>Red300</t>
  </si>
  <si>
    <t>삼화페인트</t>
  </si>
  <si>
    <t>Violet550</t>
  </si>
  <si>
    <t xml:space="preserve">Red334 </t>
  </si>
  <si>
    <t xml:space="preserve">Yellow </t>
  </si>
  <si>
    <t>Violet600</t>
  </si>
  <si>
    <t>삼화페인트 판매금액 평균</t>
    <phoneticPr fontId="1" type="noConversion"/>
  </si>
  <si>
    <t>&lt;제품 코드표&gt;</t>
  </si>
  <si>
    <t>코드</t>
  </si>
  <si>
    <t>판매단가</t>
  </si>
  <si>
    <t>K</t>
  </si>
  <si>
    <t>N</t>
  </si>
  <si>
    <t>D</t>
  </si>
  <si>
    <t>G</t>
  </si>
  <si>
    <t>Y</t>
  </si>
  <si>
    <t>인사명부</t>
    <phoneticPr fontId="1" type="noConversion"/>
  </si>
  <si>
    <t>이름</t>
  </si>
  <si>
    <t>부서</t>
  </si>
  <si>
    <t>경력</t>
  </si>
  <si>
    <t>자격증</t>
  </si>
  <si>
    <t>윤영근</t>
  </si>
  <si>
    <t>컴활2급</t>
  </si>
  <si>
    <t>이수안</t>
  </si>
  <si>
    <t>이인상</t>
  </si>
  <si>
    <t>최예인</t>
  </si>
  <si>
    <t>윤인수</t>
  </si>
  <si>
    <t>대리</t>
  </si>
  <si>
    <t>김구완</t>
  </si>
  <si>
    <t>제갈량</t>
  </si>
  <si>
    <t>영업1부</t>
  </si>
  <si>
    <t>서정화</t>
  </si>
  <si>
    <t>사원</t>
  </si>
  <si>
    <t>송혜영</t>
  </si>
  <si>
    <t>노지심</t>
  </si>
  <si>
    <t>전주욱</t>
  </si>
  <si>
    <t>조항승</t>
  </si>
  <si>
    <t>이유림</t>
  </si>
  <si>
    <t>퇴직금 정산 내역</t>
    <phoneticPr fontId="1" type="noConversion"/>
  </si>
  <si>
    <t>(단위 : 천원)</t>
    <phoneticPr fontId="1" type="noConversion"/>
  </si>
  <si>
    <t>근속기간</t>
  </si>
  <si>
    <t>기본급</t>
  </si>
  <si>
    <t>퇴직금</t>
  </si>
  <si>
    <t>강감찬</t>
  </si>
  <si>
    <t>회계부</t>
  </si>
  <si>
    <t>부장</t>
  </si>
  <si>
    <t>최재석</t>
  </si>
  <si>
    <t>과장</t>
  </si>
  <si>
    <t>최강석</t>
  </si>
  <si>
    <t>기획인사부</t>
  </si>
  <si>
    <t>조민준</t>
  </si>
  <si>
    <t>차장</t>
  </si>
  <si>
    <t>이충렬</t>
  </si>
  <si>
    <t>김재욱</t>
  </si>
  <si>
    <t>송치윤</t>
  </si>
  <si>
    <t xml:space="preserve"> 대구상사 사원별 영업실적</t>
    <phoneticPr fontId="1" type="noConversion"/>
  </si>
  <si>
    <t>사번</t>
  </si>
  <si>
    <t>1월 실적</t>
  </si>
  <si>
    <t>2월 실적</t>
  </si>
  <si>
    <t>김흥부</t>
  </si>
  <si>
    <t>영업2부</t>
  </si>
  <si>
    <t>이관우</t>
  </si>
  <si>
    <t>영업3부</t>
  </si>
  <si>
    <t>조조아</t>
  </si>
  <si>
    <t>이양양</t>
  </si>
  <si>
    <t>김사원</t>
  </si>
  <si>
    <t>장유비</t>
  </si>
  <si>
    <t>황충일</t>
  </si>
  <si>
    <t>최장비</t>
  </si>
  <si>
    <t>이봉주</t>
  </si>
  <si>
    <t>조자룡</t>
  </si>
  <si>
    <t>사원별 급여 현황</t>
    <phoneticPr fontId="1" type="noConversion"/>
  </si>
  <si>
    <t>(단위 : 원)</t>
    <phoneticPr fontId="1" type="noConversion"/>
  </si>
  <si>
    <t>직위</t>
  </si>
  <si>
    <t>인사고과</t>
  </si>
  <si>
    <t>상여비율</t>
  </si>
  <si>
    <t>총급여액</t>
  </si>
  <si>
    <t>박덕우</t>
  </si>
  <si>
    <t>하나영</t>
  </si>
  <si>
    <t>홍보부</t>
  </si>
  <si>
    <t>호지명</t>
  </si>
  <si>
    <t>김동지</t>
  </si>
  <si>
    <t>판매부</t>
  </si>
  <si>
    <t>한아름</t>
  </si>
  <si>
    <t>지연학</t>
  </si>
  <si>
    <t>이진경</t>
  </si>
  <si>
    <t>오여령</t>
  </si>
  <si>
    <t>주지연</t>
  </si>
  <si>
    <t>한승수</t>
  </si>
  <si>
    <t>민지환</t>
  </si>
  <si>
    <t>이세현</t>
  </si>
  <si>
    <t>4/4분기 소모품 구매 신청서</t>
    <phoneticPr fontId="1" type="noConversion"/>
  </si>
  <si>
    <t>코드번호</t>
  </si>
  <si>
    <t>규격</t>
  </si>
  <si>
    <t>단위</t>
  </si>
  <si>
    <t>단가</t>
  </si>
  <si>
    <t>A-002</t>
  </si>
  <si>
    <t>복사용지1</t>
  </si>
  <si>
    <t>B4</t>
  </si>
  <si>
    <t>박스</t>
  </si>
  <si>
    <t>A-003</t>
  </si>
  <si>
    <t>개</t>
  </si>
  <si>
    <t>B-001</t>
  </si>
  <si>
    <t>연필</t>
  </si>
  <si>
    <t>흑색</t>
  </si>
  <si>
    <t>타스</t>
  </si>
  <si>
    <t>A-004</t>
  </si>
  <si>
    <t>복사용지2</t>
  </si>
  <si>
    <t>A4</t>
  </si>
  <si>
    <t>적색</t>
  </si>
  <si>
    <t>A-005</t>
  </si>
  <si>
    <t>B-005</t>
  </si>
  <si>
    <t>B-010</t>
  </si>
  <si>
    <t>장</t>
  </si>
  <si>
    <t>C-001</t>
  </si>
  <si>
    <t>C-005</t>
  </si>
  <si>
    <t>건전지</t>
  </si>
  <si>
    <t>중</t>
  </si>
  <si>
    <t>볼펜</t>
    <phoneticPr fontId="1" type="noConversion"/>
  </si>
  <si>
    <t>흑색</t>
    <phoneticPr fontId="1" type="noConversion"/>
  </si>
  <si>
    <t>파랑색</t>
    <phoneticPr fontId="1" type="noConversion"/>
  </si>
  <si>
    <t>50*50</t>
    <phoneticPr fontId="1" type="noConversion"/>
  </si>
  <si>
    <t>테이프</t>
    <phoneticPr fontId="1" type="noConversion"/>
  </si>
  <si>
    <t>투명</t>
    <phoneticPr fontId="1" type="noConversion"/>
  </si>
  <si>
    <t>수정액</t>
    <phoneticPr fontId="1" type="noConversion"/>
  </si>
  <si>
    <t>극세식</t>
    <phoneticPr fontId="1" type="noConversion"/>
  </si>
  <si>
    <t>신입사원 명단</t>
    <phoneticPr fontId="1" type="noConversion"/>
  </si>
  <si>
    <t>사원코드</t>
  </si>
  <si>
    <t>성별</t>
  </si>
  <si>
    <t>TOEIC</t>
  </si>
  <si>
    <t>TOEFL</t>
  </si>
  <si>
    <t>졸업학점</t>
  </si>
  <si>
    <t>면접점수</t>
  </si>
  <si>
    <t>SNG-01</t>
  </si>
  <si>
    <t>김근태</t>
  </si>
  <si>
    <t>남</t>
  </si>
  <si>
    <t>SNG-02</t>
  </si>
  <si>
    <t>남연희</t>
  </si>
  <si>
    <t>여</t>
  </si>
  <si>
    <t>SNG-03</t>
  </si>
  <si>
    <t>류성미</t>
  </si>
  <si>
    <t>SNG-04</t>
  </si>
  <si>
    <t>박선효</t>
  </si>
  <si>
    <t>SNG-05</t>
  </si>
  <si>
    <t>손정은</t>
  </si>
  <si>
    <t>SNG-06</t>
  </si>
  <si>
    <t>오성빈</t>
  </si>
  <si>
    <t>SNG-07</t>
  </si>
  <si>
    <t>정창준</t>
  </si>
  <si>
    <t>입실시간</t>
  </si>
  <si>
    <t>퇴실시간</t>
  </si>
  <si>
    <t>[표3]</t>
    <phoneticPr fontId="1" type="noConversion"/>
  </si>
  <si>
    <t>키즈카페 이용현황</t>
    <phoneticPr fontId="1" type="noConversion"/>
  </si>
  <si>
    <t>이용시간</t>
    <phoneticPr fontId="1" type="noConversion"/>
  </si>
  <si>
    <t>이름</t>
    <phoneticPr fontId="1" type="noConversion"/>
  </si>
  <si>
    <t>김대호</t>
    <phoneticPr fontId="1" type="noConversion"/>
  </si>
  <si>
    <t>유아영</t>
    <phoneticPr fontId="1" type="noConversion"/>
  </si>
  <si>
    <t>김서하</t>
    <phoneticPr fontId="1" type="noConversion"/>
  </si>
  <si>
    <t>고시아</t>
    <phoneticPr fontId="1" type="noConversion"/>
  </si>
  <si>
    <t>안보현</t>
    <phoneticPr fontId="1" type="noConversion"/>
  </si>
  <si>
    <t>김주원</t>
    <phoneticPr fontId="1" type="noConversion"/>
  </si>
  <si>
    <t>이유진</t>
    <phoneticPr fontId="1" type="noConversion"/>
  </si>
  <si>
    <t>고강민</t>
    <phoneticPr fontId="1" type="noConversion"/>
  </si>
  <si>
    <t>입사일자</t>
    <phoneticPr fontId="1" type="noConversion"/>
  </si>
  <si>
    <t>사원명</t>
    <phoneticPr fontId="1" type="noConversion"/>
  </si>
  <si>
    <t>부서명</t>
    <phoneticPr fontId="1" type="noConversion"/>
  </si>
  <si>
    <t>직위</t>
    <phoneticPr fontId="1" type="noConversion"/>
  </si>
  <si>
    <t>부장</t>
    <phoneticPr fontId="1" type="noConversion"/>
  </si>
  <si>
    <t>과장</t>
    <phoneticPr fontId="1" type="noConversion"/>
  </si>
  <si>
    <t>워드</t>
    <phoneticPr fontId="1" type="noConversion"/>
  </si>
  <si>
    <t>대리</t>
    <phoneticPr fontId="1" type="noConversion"/>
  </si>
  <si>
    <t>정보처리</t>
    <phoneticPr fontId="1" type="noConversion"/>
  </si>
  <si>
    <t>컴활1급</t>
    <phoneticPr fontId="1" type="noConversion"/>
  </si>
  <si>
    <t>사원</t>
    <phoneticPr fontId="1" type="noConversion"/>
  </si>
  <si>
    <t>사무자동화</t>
    <phoneticPr fontId="1" type="noConversion"/>
  </si>
  <si>
    <t>영업부</t>
    <phoneticPr fontId="1" type="noConversion"/>
  </si>
  <si>
    <t>컴활2급</t>
    <phoneticPr fontId="1" type="noConversion"/>
  </si>
  <si>
    <t>마케팅부</t>
    <phoneticPr fontId="1" type="noConversion"/>
  </si>
  <si>
    <t>상여급</t>
    <phoneticPr fontId="1" type="noConversion"/>
  </si>
  <si>
    <t>기획부</t>
    <phoneticPr fontId="1" type="noConversion"/>
  </si>
  <si>
    <t>총무부</t>
    <phoneticPr fontId="1" type="noConversion"/>
  </si>
  <si>
    <t>작성일 :</t>
    <phoneticPr fontId="1" type="noConversion"/>
  </si>
  <si>
    <t>부서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</si>
</sst>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6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SNG-01</c:v>
                </c:pt>
                <c:pt idx="1">
                  <c:v>SNG-02</c:v>
                </c:pt>
                <c:pt idx="2">
                  <c:v>SNG-03</c:v>
                </c:pt>
                <c:pt idx="3">
                  <c:v>SNG-04</c:v>
                </c:pt>
                <c:pt idx="4">
                  <c:v>SNG-05</c:v>
                </c:pt>
                <c:pt idx="5">
                  <c:v>SNG-06</c:v>
                </c:pt>
                <c:pt idx="6">
                  <c:v>SNG-07</c:v>
                </c:pt>
              </c:strCache>
            </c:strRef>
          </c:cat>
          <c:val>
            <c:numRef>
              <c:f>차트작업!$D$4:$D$10</c:f>
              <c:numCache>
                <c:formatCode>General</c:formatCode>
                <c:ptCount val="7"/>
                <c:pt idx="0">
                  <c:v>720</c:v>
                </c:pt>
                <c:pt idx="1">
                  <c:v>710</c:v>
                </c:pt>
                <c:pt idx="2">
                  <c:v>840</c:v>
                </c:pt>
                <c:pt idx="3">
                  <c:v>775</c:v>
                </c:pt>
                <c:pt idx="4">
                  <c:v>765</c:v>
                </c:pt>
                <c:pt idx="5">
                  <c:v>665</c:v>
                </c:pt>
                <c:pt idx="6">
                  <c:v>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DB-4CF4-9BEC-84B86ACC08A4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TOEFL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SNG-01</c:v>
                </c:pt>
                <c:pt idx="1">
                  <c:v>SNG-02</c:v>
                </c:pt>
                <c:pt idx="2">
                  <c:v>SNG-03</c:v>
                </c:pt>
                <c:pt idx="3">
                  <c:v>SNG-04</c:v>
                </c:pt>
                <c:pt idx="4">
                  <c:v>SNG-05</c:v>
                </c:pt>
                <c:pt idx="5">
                  <c:v>SNG-06</c:v>
                </c:pt>
                <c:pt idx="6">
                  <c:v>SNG-07</c:v>
                </c:pt>
              </c:strCache>
            </c:strRef>
          </c:cat>
          <c:val>
            <c:numRef>
              <c:f>차트작업!$E$4:$E$10</c:f>
              <c:numCache>
                <c:formatCode>General</c:formatCode>
                <c:ptCount val="7"/>
                <c:pt idx="0">
                  <c:v>498</c:v>
                </c:pt>
                <c:pt idx="1">
                  <c:v>475</c:v>
                </c:pt>
                <c:pt idx="2">
                  <c:v>556</c:v>
                </c:pt>
                <c:pt idx="3">
                  <c:v>510</c:v>
                </c:pt>
                <c:pt idx="4">
                  <c:v>499</c:v>
                </c:pt>
                <c:pt idx="5">
                  <c:v>412</c:v>
                </c:pt>
                <c:pt idx="6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DB-4CF4-9BEC-84B86ACC08A4}"/>
            </c:ext>
          </c:extLst>
        </c:ser>
        <c:ser>
          <c:idx val="2"/>
          <c:order val="2"/>
          <c:tx>
            <c:strRef>
              <c:f>차트작업!$G$3</c:f>
              <c:strCache>
                <c:ptCount val="1"/>
                <c:pt idx="0">
                  <c:v>면접점수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SNG-01</c:v>
                </c:pt>
                <c:pt idx="1">
                  <c:v>SNG-02</c:v>
                </c:pt>
                <c:pt idx="2">
                  <c:v>SNG-03</c:v>
                </c:pt>
                <c:pt idx="3">
                  <c:v>SNG-04</c:v>
                </c:pt>
                <c:pt idx="4">
                  <c:v>SNG-05</c:v>
                </c:pt>
                <c:pt idx="5">
                  <c:v>SNG-06</c:v>
                </c:pt>
                <c:pt idx="6">
                  <c:v>SNG-07</c:v>
                </c:pt>
              </c:strCache>
            </c:strRef>
          </c:cat>
          <c:val>
            <c:numRef>
              <c:f>차트작업!$G$4:$G$10</c:f>
              <c:numCache>
                <c:formatCode>General</c:formatCode>
                <c:ptCount val="7"/>
                <c:pt idx="0">
                  <c:v>860</c:v>
                </c:pt>
                <c:pt idx="1">
                  <c:v>910</c:v>
                </c:pt>
                <c:pt idx="2">
                  <c:v>980</c:v>
                </c:pt>
                <c:pt idx="3">
                  <c:v>890</c:v>
                </c:pt>
                <c:pt idx="4">
                  <c:v>780</c:v>
                </c:pt>
                <c:pt idx="5">
                  <c:v>910</c:v>
                </c:pt>
                <c:pt idx="6">
                  <c:v>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DB-4CF4-9BEC-84B86ACC0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44032"/>
        <c:axId val="125644512"/>
      </c:barChart>
      <c:catAx>
        <c:axId val="12564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644512"/>
        <c:crosses val="autoZero"/>
        <c:auto val="1"/>
        <c:lblAlgn val="ctr"/>
        <c:lblOffset val="100"/>
        <c:noMultiLvlLbl val="0"/>
      </c:catAx>
      <c:valAx>
        <c:axId val="1256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64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28DD147-F0FA-99E5-5249-C72DF748C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 codeName="Sheet1"/>
  <dimension ref="A1:F9"/>
  <sheetViews>
    <sheetView tabSelected="1" workbookViewId="0"/>
  </sheetViews>
  <sheetFormatPr defaultRowHeight="17" x14ac:dyDescent="0.45"/>
  <cols>
    <col min="1" max="1" width="10.75" bestFit="1" customWidth="1"/>
    <col min="4" max="4" width="9" bestFit="1" customWidth="1"/>
  </cols>
  <sheetData>
    <row r="1" spans="1:6" x14ac:dyDescent="0.45">
      <c r="A1" t="s">
        <v>2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2"/>
      <c r="B4" s="1"/>
      <c r="C4" s="3"/>
      <c r="D4" s="1"/>
      <c r="E4" s="1"/>
      <c r="F4" s="1"/>
    </row>
    <row r="5" spans="1:6" x14ac:dyDescent="0.45">
      <c r="A5" s="2"/>
      <c r="B5" s="1"/>
      <c r="C5" s="3"/>
      <c r="D5" s="1"/>
      <c r="E5" s="1"/>
      <c r="F5" s="1"/>
    </row>
    <row r="6" spans="1:6" x14ac:dyDescent="0.45">
      <c r="A6" s="2"/>
      <c r="B6" s="1"/>
      <c r="C6" s="3"/>
      <c r="D6" s="1"/>
      <c r="E6" s="1"/>
      <c r="F6" s="1"/>
    </row>
    <row r="7" spans="1:6" x14ac:dyDescent="0.45">
      <c r="A7" s="2"/>
      <c r="B7" s="1"/>
      <c r="C7" s="3"/>
      <c r="D7" s="1"/>
      <c r="E7" s="1"/>
      <c r="F7" s="1"/>
    </row>
    <row r="8" spans="1:6" x14ac:dyDescent="0.45">
      <c r="A8" s="2"/>
      <c r="B8" s="1"/>
      <c r="C8" s="3"/>
      <c r="D8" s="1"/>
      <c r="E8" s="1"/>
      <c r="F8" s="1"/>
    </row>
    <row r="9" spans="1:6" x14ac:dyDescent="0.45">
      <c r="A9" s="2"/>
      <c r="B9" s="1"/>
      <c r="C9" s="3"/>
      <c r="D9" s="1"/>
      <c r="E9" s="1"/>
      <c r="F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ABC2-1872-4854-BF33-A464E8FDD327}">
  <sheetPr codeName="Sheet2"/>
  <dimension ref="A1:F16"/>
  <sheetViews>
    <sheetView workbookViewId="0"/>
  </sheetViews>
  <sheetFormatPr defaultRowHeight="17" x14ac:dyDescent="0.45"/>
  <cols>
    <col min="1" max="1" width="10.75" bestFit="1" customWidth="1"/>
    <col min="6" max="6" width="10.75" bestFit="1" customWidth="1"/>
  </cols>
  <sheetData>
    <row r="1" spans="1:6" x14ac:dyDescent="0.45">
      <c r="A1" s="12" t="s">
        <v>79</v>
      </c>
    </row>
    <row r="2" spans="1:6" ht="20" customHeight="1" x14ac:dyDescent="0.45">
      <c r="E2" s="1" t="s">
        <v>244</v>
      </c>
      <c r="F2" s="2">
        <v>45528</v>
      </c>
    </row>
    <row r="3" spans="1:6" x14ac:dyDescent="0.45">
      <c r="A3" t="s">
        <v>226</v>
      </c>
      <c r="B3" t="s">
        <v>227</v>
      </c>
      <c r="C3" t="s">
        <v>228</v>
      </c>
      <c r="D3" t="s">
        <v>229</v>
      </c>
      <c r="E3" t="s">
        <v>82</v>
      </c>
      <c r="F3" t="s">
        <v>83</v>
      </c>
    </row>
    <row r="4" spans="1:6" x14ac:dyDescent="0.45">
      <c r="A4" s="15">
        <v>37705</v>
      </c>
      <c r="B4" t="s">
        <v>84</v>
      </c>
      <c r="C4" t="s">
        <v>242</v>
      </c>
      <c r="D4" t="s">
        <v>230</v>
      </c>
      <c r="E4">
        <v>240</v>
      </c>
      <c r="F4" t="s">
        <v>85</v>
      </c>
    </row>
    <row r="5" spans="1:6" x14ac:dyDescent="0.45">
      <c r="A5" s="15">
        <v>41797</v>
      </c>
      <c r="B5" t="s">
        <v>86</v>
      </c>
      <c r="C5" t="s">
        <v>242</v>
      </c>
      <c r="D5" t="s">
        <v>231</v>
      </c>
      <c r="E5">
        <v>108</v>
      </c>
      <c r="F5" t="s">
        <v>232</v>
      </c>
    </row>
    <row r="6" spans="1:6" x14ac:dyDescent="0.45">
      <c r="A6" s="15">
        <v>43803</v>
      </c>
      <c r="B6" t="s">
        <v>87</v>
      </c>
      <c r="C6" t="s">
        <v>242</v>
      </c>
      <c r="D6" t="s">
        <v>233</v>
      </c>
      <c r="E6">
        <v>48</v>
      </c>
      <c r="F6" t="s">
        <v>234</v>
      </c>
    </row>
    <row r="7" spans="1:6" x14ac:dyDescent="0.45">
      <c r="A7" s="15">
        <v>41276</v>
      </c>
      <c r="B7" t="s">
        <v>88</v>
      </c>
      <c r="C7" t="s">
        <v>243</v>
      </c>
      <c r="D7" t="s">
        <v>231</v>
      </c>
      <c r="E7">
        <v>120</v>
      </c>
      <c r="F7" t="s">
        <v>85</v>
      </c>
    </row>
    <row r="8" spans="1:6" x14ac:dyDescent="0.45">
      <c r="A8" s="15">
        <v>43655</v>
      </c>
      <c r="B8" t="s">
        <v>89</v>
      </c>
      <c r="C8" t="s">
        <v>243</v>
      </c>
      <c r="D8" t="s">
        <v>233</v>
      </c>
      <c r="E8">
        <v>48</v>
      </c>
      <c r="F8" t="s">
        <v>235</v>
      </c>
    </row>
    <row r="9" spans="1:6" x14ac:dyDescent="0.45">
      <c r="A9" s="15">
        <v>44506</v>
      </c>
      <c r="B9" t="s">
        <v>91</v>
      </c>
      <c r="C9" t="s">
        <v>243</v>
      </c>
      <c r="D9" t="s">
        <v>236</v>
      </c>
      <c r="E9">
        <v>24</v>
      </c>
      <c r="F9" t="s">
        <v>237</v>
      </c>
    </row>
    <row r="10" spans="1:6" x14ac:dyDescent="0.45">
      <c r="A10" s="15">
        <v>37377</v>
      </c>
      <c r="B10" t="s">
        <v>92</v>
      </c>
      <c r="C10" t="s">
        <v>238</v>
      </c>
      <c r="D10" t="s">
        <v>230</v>
      </c>
      <c r="E10">
        <v>252</v>
      </c>
      <c r="F10" t="s">
        <v>232</v>
      </c>
    </row>
    <row r="11" spans="1:6" x14ac:dyDescent="0.45">
      <c r="A11" s="15">
        <v>41020</v>
      </c>
      <c r="B11" t="s">
        <v>94</v>
      </c>
      <c r="C11" t="s">
        <v>238</v>
      </c>
      <c r="D11" t="s">
        <v>231</v>
      </c>
      <c r="E11">
        <v>132</v>
      </c>
      <c r="F11" t="s">
        <v>237</v>
      </c>
    </row>
    <row r="12" spans="1:6" x14ac:dyDescent="0.45">
      <c r="A12" s="15">
        <v>43363</v>
      </c>
      <c r="B12" t="s">
        <v>96</v>
      </c>
      <c r="C12" t="s">
        <v>238</v>
      </c>
      <c r="D12" t="s">
        <v>233</v>
      </c>
      <c r="E12">
        <v>60</v>
      </c>
      <c r="F12" t="s">
        <v>239</v>
      </c>
    </row>
    <row r="13" spans="1:6" x14ac:dyDescent="0.45">
      <c r="A13" s="15">
        <v>44693</v>
      </c>
      <c r="B13" t="s">
        <v>97</v>
      </c>
      <c r="C13" t="s">
        <v>238</v>
      </c>
      <c r="D13" t="s">
        <v>236</v>
      </c>
      <c r="E13">
        <v>12</v>
      </c>
      <c r="F13" t="s">
        <v>234</v>
      </c>
    </row>
    <row r="14" spans="1:6" x14ac:dyDescent="0.45">
      <c r="A14" s="15">
        <v>41565</v>
      </c>
      <c r="B14" t="s">
        <v>98</v>
      </c>
      <c r="C14" t="s">
        <v>240</v>
      </c>
      <c r="D14" t="s">
        <v>231</v>
      </c>
      <c r="E14">
        <v>120</v>
      </c>
      <c r="F14" t="s">
        <v>234</v>
      </c>
    </row>
    <row r="15" spans="1:6" x14ac:dyDescent="0.45">
      <c r="A15" s="15">
        <v>44979</v>
      </c>
      <c r="B15" t="s">
        <v>99</v>
      </c>
      <c r="C15" t="s">
        <v>240</v>
      </c>
      <c r="D15" t="s">
        <v>236</v>
      </c>
      <c r="E15">
        <v>7</v>
      </c>
      <c r="F15" t="s">
        <v>235</v>
      </c>
    </row>
    <row r="16" spans="1:6" x14ac:dyDescent="0.45">
      <c r="A16" s="15">
        <v>44912</v>
      </c>
      <c r="B16" t="s">
        <v>100</v>
      </c>
      <c r="C16" t="s">
        <v>240</v>
      </c>
      <c r="D16" t="s">
        <v>236</v>
      </c>
      <c r="E16">
        <v>12</v>
      </c>
      <c r="F16" t="s">
        <v>232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 codeName="Sheet3"/>
  <dimension ref="A1:H13"/>
  <sheetViews>
    <sheetView workbookViewId="0">
      <selection sqref="A1:H1"/>
    </sheetView>
  </sheetViews>
  <sheetFormatPr defaultRowHeight="17" x14ac:dyDescent="0.45"/>
  <cols>
    <col min="2" max="2" width="10.4140625" bestFit="1" customWidth="1"/>
  </cols>
  <sheetData>
    <row r="1" spans="1:8" ht="21" x14ac:dyDescent="0.45">
      <c r="A1" s="16" t="s">
        <v>101</v>
      </c>
      <c r="B1" s="16"/>
      <c r="C1" s="16"/>
      <c r="D1" s="16"/>
      <c r="E1" s="16"/>
      <c r="F1" s="16"/>
      <c r="G1" s="16"/>
      <c r="H1" s="16"/>
    </row>
    <row r="2" spans="1:8" x14ac:dyDescent="0.45">
      <c r="H2" s="8" t="s">
        <v>102</v>
      </c>
    </row>
    <row r="3" spans="1:8" x14ac:dyDescent="0.45">
      <c r="A3" s="6" t="s">
        <v>22</v>
      </c>
      <c r="B3" s="6" t="s">
        <v>8</v>
      </c>
      <c r="C3" s="6" t="s">
        <v>229</v>
      </c>
      <c r="D3" s="6" t="s">
        <v>103</v>
      </c>
      <c r="E3" s="6" t="s">
        <v>104</v>
      </c>
      <c r="F3" s="6" t="s">
        <v>241</v>
      </c>
      <c r="G3" s="6" t="s">
        <v>24</v>
      </c>
      <c r="H3" s="6" t="s">
        <v>105</v>
      </c>
    </row>
    <row r="4" spans="1:8" x14ac:dyDescent="0.45">
      <c r="A4" s="6" t="s">
        <v>106</v>
      </c>
      <c r="B4" s="6" t="s">
        <v>107</v>
      </c>
      <c r="C4" s="6" t="s">
        <v>108</v>
      </c>
      <c r="D4" s="6">
        <v>25</v>
      </c>
      <c r="E4" s="10">
        <v>2800</v>
      </c>
      <c r="F4" s="10">
        <f>E4*400%</f>
        <v>11200</v>
      </c>
      <c r="G4" s="10">
        <f>IF(D4&gt;=30, E4*100%, IF(D4&gt;=20, E4*50%, E4*20%))</f>
        <v>1400</v>
      </c>
      <c r="H4" s="10">
        <f>D4*E4+F4+G4</f>
        <v>82600</v>
      </c>
    </row>
    <row r="5" spans="1:8" x14ac:dyDescent="0.45">
      <c r="A5" s="6" t="s">
        <v>109</v>
      </c>
      <c r="B5" s="6" t="s">
        <v>107</v>
      </c>
      <c r="C5" s="6" t="s">
        <v>110</v>
      </c>
      <c r="D5" s="6">
        <v>12</v>
      </c>
      <c r="E5" s="10">
        <v>2000</v>
      </c>
      <c r="F5" s="10">
        <f t="shared" ref="F5:F13" si="0">E5*400%</f>
        <v>8000</v>
      </c>
      <c r="G5" s="10">
        <f t="shared" ref="G5:G13" si="1">IF(D5&gt;=30, E5*100%, IF(D5&gt;=20, E5*50%, E5*20%))</f>
        <v>400</v>
      </c>
      <c r="H5" s="10">
        <f t="shared" ref="H5:H13" si="2">D5*E5+F5+G5</f>
        <v>32400</v>
      </c>
    </row>
    <row r="6" spans="1:8" x14ac:dyDescent="0.45">
      <c r="A6" s="6" t="s">
        <v>111</v>
      </c>
      <c r="B6" s="6" t="s">
        <v>112</v>
      </c>
      <c r="C6" s="6" t="s">
        <v>108</v>
      </c>
      <c r="D6" s="6">
        <v>21</v>
      </c>
      <c r="E6" s="10">
        <v>2800</v>
      </c>
      <c r="F6" s="10">
        <f t="shared" si="0"/>
        <v>11200</v>
      </c>
      <c r="G6" s="10">
        <f t="shared" si="1"/>
        <v>1400</v>
      </c>
      <c r="H6" s="10">
        <f t="shared" si="2"/>
        <v>71400</v>
      </c>
    </row>
    <row r="7" spans="1:8" x14ac:dyDescent="0.45">
      <c r="A7" s="6" t="s">
        <v>113</v>
      </c>
      <c r="B7" s="6" t="s">
        <v>15</v>
      </c>
      <c r="C7" s="6" t="s">
        <v>114</v>
      </c>
      <c r="D7" s="6">
        <v>25</v>
      </c>
      <c r="E7" s="10">
        <v>2500</v>
      </c>
      <c r="F7" s="10">
        <f t="shared" si="0"/>
        <v>10000</v>
      </c>
      <c r="G7" s="10">
        <f t="shared" si="1"/>
        <v>1250</v>
      </c>
      <c r="H7" s="10">
        <f t="shared" si="2"/>
        <v>73750</v>
      </c>
    </row>
    <row r="8" spans="1:8" x14ac:dyDescent="0.45">
      <c r="A8" s="6" t="s">
        <v>115</v>
      </c>
      <c r="B8" s="6" t="s">
        <v>15</v>
      </c>
      <c r="C8" s="6" t="s">
        <v>90</v>
      </c>
      <c r="D8" s="6">
        <v>9</v>
      </c>
      <c r="E8" s="10">
        <v>1800</v>
      </c>
      <c r="F8" s="10">
        <f t="shared" si="0"/>
        <v>7200</v>
      </c>
      <c r="G8" s="10">
        <f t="shared" si="1"/>
        <v>360</v>
      </c>
      <c r="H8" s="10">
        <f t="shared" si="2"/>
        <v>23760</v>
      </c>
    </row>
    <row r="9" spans="1:8" x14ac:dyDescent="0.45">
      <c r="A9" s="6" t="s">
        <v>116</v>
      </c>
      <c r="B9" s="6" t="s">
        <v>107</v>
      </c>
      <c r="C9" s="6" t="s">
        <v>110</v>
      </c>
      <c r="D9" s="6">
        <v>18</v>
      </c>
      <c r="E9" s="10">
        <v>2000</v>
      </c>
      <c r="F9" s="10">
        <f t="shared" si="0"/>
        <v>8000</v>
      </c>
      <c r="G9" s="10">
        <f t="shared" si="1"/>
        <v>400</v>
      </c>
      <c r="H9" s="10">
        <f t="shared" si="2"/>
        <v>44400</v>
      </c>
    </row>
    <row r="10" spans="1:8" x14ac:dyDescent="0.45">
      <c r="A10" s="6" t="s">
        <v>94</v>
      </c>
      <c r="B10" s="6" t="s">
        <v>107</v>
      </c>
      <c r="C10" s="6" t="s">
        <v>114</v>
      </c>
      <c r="D10" s="6">
        <v>22</v>
      </c>
      <c r="E10" s="10">
        <v>2500</v>
      </c>
      <c r="F10" s="10">
        <f t="shared" si="0"/>
        <v>10000</v>
      </c>
      <c r="G10" s="10">
        <f t="shared" si="1"/>
        <v>1250</v>
      </c>
      <c r="H10" s="10">
        <f t="shared" si="2"/>
        <v>66250</v>
      </c>
    </row>
    <row r="11" spans="1:8" x14ac:dyDescent="0.45">
      <c r="A11" s="6" t="s">
        <v>117</v>
      </c>
      <c r="B11" s="6" t="s">
        <v>112</v>
      </c>
      <c r="C11" s="6" t="s">
        <v>90</v>
      </c>
      <c r="D11" s="6">
        <v>14</v>
      </c>
      <c r="E11" s="10">
        <v>1800</v>
      </c>
      <c r="F11" s="10">
        <f t="shared" si="0"/>
        <v>7200</v>
      </c>
      <c r="G11" s="10">
        <f t="shared" si="1"/>
        <v>360</v>
      </c>
      <c r="H11" s="10">
        <f t="shared" si="2"/>
        <v>32760</v>
      </c>
    </row>
    <row r="12" spans="1:8" x14ac:dyDescent="0.45">
      <c r="A12" s="6" t="s">
        <v>96</v>
      </c>
      <c r="B12" s="6" t="s">
        <v>107</v>
      </c>
      <c r="C12" s="6" t="s">
        <v>90</v>
      </c>
      <c r="D12" s="6">
        <v>7</v>
      </c>
      <c r="E12" s="10">
        <v>1800</v>
      </c>
      <c r="F12" s="10">
        <f t="shared" si="0"/>
        <v>7200</v>
      </c>
      <c r="G12" s="10">
        <f t="shared" si="1"/>
        <v>360</v>
      </c>
      <c r="H12" s="10">
        <f t="shared" si="2"/>
        <v>20160</v>
      </c>
    </row>
    <row r="13" spans="1:8" x14ac:dyDescent="0.45">
      <c r="A13" s="6" t="s">
        <v>91</v>
      </c>
      <c r="B13" s="6" t="s">
        <v>15</v>
      </c>
      <c r="C13" s="6" t="s">
        <v>90</v>
      </c>
      <c r="D13" s="6">
        <v>7</v>
      </c>
      <c r="E13" s="10">
        <v>1800</v>
      </c>
      <c r="F13" s="10">
        <f t="shared" si="0"/>
        <v>7200</v>
      </c>
      <c r="G13" s="10">
        <f t="shared" si="1"/>
        <v>360</v>
      </c>
      <c r="H13" s="10">
        <f t="shared" si="2"/>
        <v>20160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 codeName="Sheet4"/>
  <dimension ref="A1:L32"/>
  <sheetViews>
    <sheetView workbookViewId="0"/>
  </sheetViews>
  <sheetFormatPr defaultRowHeight="17" x14ac:dyDescent="0.45"/>
  <cols>
    <col min="1" max="1" width="10.4140625" bestFit="1" customWidth="1"/>
    <col min="2" max="2" width="9.5" customWidth="1"/>
    <col min="3" max="4" width="10.75" bestFit="1" customWidth="1"/>
    <col min="5" max="5" width="5.58203125" customWidth="1"/>
    <col min="9" max="9" width="9.08203125" bestFit="1" customWidth="1"/>
    <col min="11" max="11" width="2.58203125" customWidth="1"/>
    <col min="12" max="12" width="11.58203125" bestFit="1" customWidth="1"/>
  </cols>
  <sheetData>
    <row r="1" spans="1:12" x14ac:dyDescent="0.45">
      <c r="A1" s="4" t="s">
        <v>4</v>
      </c>
      <c r="B1" s="5" t="s">
        <v>5</v>
      </c>
      <c r="F1" s="4" t="s">
        <v>20</v>
      </c>
      <c r="G1" s="5" t="s">
        <v>21</v>
      </c>
    </row>
    <row r="2" spans="1:12" x14ac:dyDescent="0.45">
      <c r="C2" s="8" t="s">
        <v>6</v>
      </c>
      <c r="D2" s="2">
        <v>45413</v>
      </c>
      <c r="F2" s="6" t="s">
        <v>22</v>
      </c>
      <c r="G2" s="6" t="s">
        <v>8</v>
      </c>
      <c r="H2" s="6" t="s">
        <v>23</v>
      </c>
      <c r="I2" s="6" t="s">
        <v>24</v>
      </c>
      <c r="J2" s="6" t="s">
        <v>25</v>
      </c>
    </row>
    <row r="3" spans="1:12" x14ac:dyDescent="0.45">
      <c r="A3" s="6" t="s">
        <v>7</v>
      </c>
      <c r="B3" s="6" t="s">
        <v>8</v>
      </c>
      <c r="C3" s="6" t="s">
        <v>9</v>
      </c>
      <c r="D3" s="9" t="s">
        <v>10</v>
      </c>
      <c r="F3" s="6" t="s">
        <v>26</v>
      </c>
      <c r="G3" s="6" t="s">
        <v>27</v>
      </c>
      <c r="H3" s="10">
        <v>20400</v>
      </c>
      <c r="I3" s="10">
        <v>9600</v>
      </c>
      <c r="J3" s="10">
        <v>20000</v>
      </c>
    </row>
    <row r="4" spans="1:12" x14ac:dyDescent="0.45">
      <c r="A4" s="6" t="s">
        <v>11</v>
      </c>
      <c r="B4" s="6" t="s">
        <v>12</v>
      </c>
      <c r="C4" s="7">
        <v>42453</v>
      </c>
      <c r="D4" s="6"/>
      <c r="F4" s="6" t="s">
        <v>28</v>
      </c>
      <c r="G4" s="6" t="s">
        <v>29</v>
      </c>
      <c r="H4" s="10">
        <v>12000</v>
      </c>
      <c r="I4" s="10">
        <v>3600</v>
      </c>
      <c r="J4" s="10">
        <v>10400</v>
      </c>
    </row>
    <row r="5" spans="1:12" x14ac:dyDescent="0.45">
      <c r="A5" s="6" t="s">
        <v>13</v>
      </c>
      <c r="B5" s="6" t="s">
        <v>12</v>
      </c>
      <c r="C5" s="7">
        <v>43787</v>
      </c>
      <c r="D5" s="6"/>
      <c r="F5" s="6" t="s">
        <v>30</v>
      </c>
      <c r="G5" s="6" t="s">
        <v>31</v>
      </c>
      <c r="H5" s="10">
        <v>21600</v>
      </c>
      <c r="I5" s="10">
        <v>9600</v>
      </c>
      <c r="J5" s="10">
        <v>20800</v>
      </c>
      <c r="L5" s="6"/>
    </row>
    <row r="6" spans="1:12" x14ac:dyDescent="0.45">
      <c r="A6" s="6" t="s">
        <v>14</v>
      </c>
      <c r="B6" s="6" t="s">
        <v>15</v>
      </c>
      <c r="C6" s="7">
        <v>40307</v>
      </c>
      <c r="D6" s="6"/>
      <c r="F6" s="6" t="s">
        <v>32</v>
      </c>
      <c r="G6" s="6" t="s">
        <v>31</v>
      </c>
      <c r="H6" s="10">
        <v>14400</v>
      </c>
      <c r="I6" s="10">
        <v>3600</v>
      </c>
      <c r="J6" s="10">
        <v>12000</v>
      </c>
      <c r="L6" s="6"/>
    </row>
    <row r="7" spans="1:12" x14ac:dyDescent="0.45">
      <c r="A7" s="6" t="s">
        <v>16</v>
      </c>
      <c r="B7" s="6" t="s">
        <v>15</v>
      </c>
      <c r="C7" s="7">
        <v>41569</v>
      </c>
      <c r="D7" s="6"/>
      <c r="F7" s="6" t="s">
        <v>33</v>
      </c>
      <c r="G7" s="6" t="s">
        <v>31</v>
      </c>
      <c r="H7" s="10">
        <v>15600</v>
      </c>
      <c r="I7" s="10">
        <v>6000</v>
      </c>
      <c r="J7" s="10">
        <v>14400</v>
      </c>
    </row>
    <row r="8" spans="1:12" x14ac:dyDescent="0.45">
      <c r="A8" s="6" t="s">
        <v>17</v>
      </c>
      <c r="B8" s="6" t="s">
        <v>18</v>
      </c>
      <c r="C8" s="7">
        <v>43258</v>
      </c>
      <c r="D8" s="6"/>
      <c r="F8" s="6" t="s">
        <v>34</v>
      </c>
      <c r="G8" s="6" t="s">
        <v>29</v>
      </c>
      <c r="H8" s="10">
        <v>19200</v>
      </c>
      <c r="I8" s="10">
        <v>9600</v>
      </c>
      <c r="J8" s="10">
        <v>19200</v>
      </c>
      <c r="L8" s="9" t="s">
        <v>35</v>
      </c>
    </row>
    <row r="9" spans="1:12" x14ac:dyDescent="0.45">
      <c r="A9" s="6" t="s">
        <v>19</v>
      </c>
      <c r="B9" s="6" t="s">
        <v>18</v>
      </c>
      <c r="C9" s="7">
        <v>44077</v>
      </c>
      <c r="D9" s="6"/>
      <c r="F9" s="6" t="s">
        <v>36</v>
      </c>
      <c r="G9" s="6" t="s">
        <v>29</v>
      </c>
      <c r="H9" s="10">
        <v>13200</v>
      </c>
      <c r="I9" s="10">
        <v>3600</v>
      </c>
      <c r="J9" s="10">
        <v>11200</v>
      </c>
      <c r="L9" s="10"/>
    </row>
    <row r="11" spans="1:12" x14ac:dyDescent="0.45">
      <c r="A11" s="4" t="s">
        <v>214</v>
      </c>
      <c r="B11" s="5" t="s">
        <v>215</v>
      </c>
      <c r="F11" s="4" t="s">
        <v>37</v>
      </c>
      <c r="G11" s="5" t="s">
        <v>38</v>
      </c>
    </row>
    <row r="12" spans="1:12" x14ac:dyDescent="0.45">
      <c r="A12" s="6" t="s">
        <v>217</v>
      </c>
      <c r="B12" s="6" t="s">
        <v>212</v>
      </c>
      <c r="C12" s="6" t="s">
        <v>213</v>
      </c>
      <c r="D12" s="9" t="s">
        <v>216</v>
      </c>
      <c r="F12" s="6" t="s">
        <v>39</v>
      </c>
      <c r="G12" s="6" t="s">
        <v>40</v>
      </c>
      <c r="H12" s="6" t="s">
        <v>41</v>
      </c>
      <c r="I12" s="9" t="s">
        <v>42</v>
      </c>
    </row>
    <row r="13" spans="1:12" x14ac:dyDescent="0.45">
      <c r="A13" s="6" t="s">
        <v>218</v>
      </c>
      <c r="B13" s="14">
        <v>0.54722222222222217</v>
      </c>
      <c r="C13" s="14">
        <v>0.61388888888888882</v>
      </c>
      <c r="D13" s="6"/>
      <c r="F13" s="6" t="s">
        <v>43</v>
      </c>
      <c r="G13" s="6" t="s">
        <v>44</v>
      </c>
      <c r="H13" s="6">
        <v>45</v>
      </c>
      <c r="I13" s="10"/>
    </row>
    <row r="14" spans="1:12" x14ac:dyDescent="0.45">
      <c r="A14" s="6" t="s">
        <v>219</v>
      </c>
      <c r="B14" s="14">
        <v>0.55694444444444446</v>
      </c>
      <c r="C14" s="14">
        <v>0.6743055555555556</v>
      </c>
      <c r="D14" s="6"/>
      <c r="F14" s="6" t="s">
        <v>45</v>
      </c>
      <c r="G14" s="6" t="s">
        <v>46</v>
      </c>
      <c r="H14" s="6">
        <v>89</v>
      </c>
      <c r="I14" s="10"/>
    </row>
    <row r="15" spans="1:12" x14ac:dyDescent="0.45">
      <c r="A15" s="6" t="s">
        <v>220</v>
      </c>
      <c r="B15" s="14">
        <v>0.56666666666666665</v>
      </c>
      <c r="C15" s="14">
        <v>0.64513888888888882</v>
      </c>
      <c r="D15" s="6"/>
      <c r="F15" s="6" t="s">
        <v>47</v>
      </c>
      <c r="G15" s="6" t="s">
        <v>48</v>
      </c>
      <c r="H15" s="6">
        <v>230</v>
      </c>
      <c r="I15" s="10"/>
    </row>
    <row r="16" spans="1:12" x14ac:dyDescent="0.45">
      <c r="A16" s="6" t="s">
        <v>221</v>
      </c>
      <c r="B16" s="14">
        <v>0.59097222222222223</v>
      </c>
      <c r="C16" s="14">
        <v>0.68125000000000002</v>
      </c>
      <c r="D16" s="6"/>
      <c r="F16" s="6" t="s">
        <v>49</v>
      </c>
      <c r="G16" s="6" t="s">
        <v>50</v>
      </c>
      <c r="H16" s="6">
        <v>30</v>
      </c>
      <c r="I16" s="10"/>
    </row>
    <row r="17" spans="1:9" x14ac:dyDescent="0.45">
      <c r="A17" s="6" t="s">
        <v>222</v>
      </c>
      <c r="B17" s="14">
        <v>0.60625000000000007</v>
      </c>
      <c r="C17" s="14">
        <v>0.66527777777777775</v>
      </c>
      <c r="D17" s="6"/>
      <c r="F17" s="6" t="s">
        <v>51</v>
      </c>
      <c r="G17" s="6" t="s">
        <v>44</v>
      </c>
      <c r="H17" s="6">
        <v>120</v>
      </c>
      <c r="I17" s="10"/>
    </row>
    <row r="18" spans="1:9" x14ac:dyDescent="0.45">
      <c r="A18" s="6" t="s">
        <v>223</v>
      </c>
      <c r="B18" s="14">
        <v>0.61527777777777781</v>
      </c>
      <c r="C18" s="14">
        <v>0.6694444444444444</v>
      </c>
      <c r="D18" s="6"/>
      <c r="F18" s="6" t="s">
        <v>52</v>
      </c>
      <c r="G18" s="6" t="s">
        <v>53</v>
      </c>
      <c r="H18" s="6">
        <v>120</v>
      </c>
      <c r="I18" s="10"/>
    </row>
    <row r="19" spans="1:9" x14ac:dyDescent="0.45">
      <c r="A19" s="6" t="s">
        <v>224</v>
      </c>
      <c r="B19" s="14">
        <v>0.64097222222222217</v>
      </c>
      <c r="C19" s="14">
        <v>0.73819444444444438</v>
      </c>
      <c r="D19" s="6"/>
      <c r="F19" s="6" t="s">
        <v>54</v>
      </c>
      <c r="G19" s="6" t="s">
        <v>46</v>
      </c>
      <c r="H19" s="6">
        <v>125</v>
      </c>
      <c r="I19" s="10"/>
    </row>
    <row r="20" spans="1:9" x14ac:dyDescent="0.45">
      <c r="A20" s="6" t="s">
        <v>225</v>
      </c>
      <c r="B20" s="14">
        <v>0.64513888888888882</v>
      </c>
      <c r="C20" s="14">
        <v>0.68541666666666667</v>
      </c>
      <c r="D20" s="6"/>
      <c r="F20" s="6" t="s">
        <v>55</v>
      </c>
      <c r="G20" s="6" t="s">
        <v>48</v>
      </c>
      <c r="H20" s="6">
        <v>60</v>
      </c>
      <c r="I20" s="10"/>
    </row>
    <row r="22" spans="1:9" x14ac:dyDescent="0.45">
      <c r="A22" s="4" t="s">
        <v>56</v>
      </c>
      <c r="B22" s="5" t="s">
        <v>57</v>
      </c>
      <c r="F22" s="18" t="s">
        <v>71</v>
      </c>
      <c r="G22" s="18"/>
      <c r="H22" s="18"/>
    </row>
    <row r="23" spans="1:9" x14ac:dyDescent="0.45">
      <c r="A23" s="6" t="s">
        <v>58</v>
      </c>
      <c r="B23" s="6" t="s">
        <v>59</v>
      </c>
      <c r="C23" s="6" t="s">
        <v>60</v>
      </c>
      <c r="D23" s="6" t="s">
        <v>42</v>
      </c>
      <c r="F23" s="6" t="s">
        <v>72</v>
      </c>
      <c r="G23" s="6" t="s">
        <v>40</v>
      </c>
      <c r="H23" s="6" t="s">
        <v>73</v>
      </c>
    </row>
    <row r="24" spans="1:9" x14ac:dyDescent="0.45">
      <c r="A24" s="6" t="s">
        <v>61</v>
      </c>
      <c r="B24" s="6" t="s">
        <v>62</v>
      </c>
      <c r="C24" s="6">
        <v>20</v>
      </c>
      <c r="D24" s="10">
        <v>240000</v>
      </c>
      <c r="F24" s="6" t="s">
        <v>74</v>
      </c>
      <c r="G24" s="6" t="s">
        <v>44</v>
      </c>
      <c r="H24" s="10">
        <v>3000</v>
      </c>
    </row>
    <row r="25" spans="1:9" x14ac:dyDescent="0.45">
      <c r="A25" s="6" t="s">
        <v>63</v>
      </c>
      <c r="B25" s="6" t="s">
        <v>64</v>
      </c>
      <c r="C25" s="6">
        <v>7</v>
      </c>
      <c r="D25" s="10">
        <v>84000</v>
      </c>
      <c r="F25" s="6" t="s">
        <v>75</v>
      </c>
      <c r="G25" s="6" t="s">
        <v>46</v>
      </c>
      <c r="H25" s="10">
        <v>4500</v>
      </c>
    </row>
    <row r="26" spans="1:9" x14ac:dyDescent="0.45">
      <c r="A26" s="6" t="s">
        <v>65</v>
      </c>
      <c r="B26" s="6" t="s">
        <v>66</v>
      </c>
      <c r="C26" s="6">
        <v>7</v>
      </c>
      <c r="D26" s="10">
        <v>80500</v>
      </c>
      <c r="F26" s="6" t="s">
        <v>76</v>
      </c>
      <c r="G26" s="6" t="s">
        <v>48</v>
      </c>
      <c r="H26" s="10">
        <v>1500</v>
      </c>
    </row>
    <row r="27" spans="1:9" x14ac:dyDescent="0.45">
      <c r="A27" s="6" t="s">
        <v>61</v>
      </c>
      <c r="B27" s="6" t="s">
        <v>67</v>
      </c>
      <c r="C27" s="6">
        <v>12</v>
      </c>
      <c r="D27" s="10">
        <v>300000</v>
      </c>
      <c r="F27" s="6" t="s">
        <v>77</v>
      </c>
      <c r="G27" s="6" t="s">
        <v>50</v>
      </c>
      <c r="H27" s="10">
        <v>5600</v>
      </c>
    </row>
    <row r="28" spans="1:9" x14ac:dyDescent="0.45">
      <c r="A28" s="6" t="s">
        <v>65</v>
      </c>
      <c r="B28" s="6" t="s">
        <v>68</v>
      </c>
      <c r="C28" s="6">
        <v>12</v>
      </c>
      <c r="D28" s="10">
        <v>150000</v>
      </c>
      <c r="F28" s="6" t="s">
        <v>78</v>
      </c>
      <c r="G28" s="6" t="s">
        <v>53</v>
      </c>
      <c r="H28" s="10">
        <v>3200</v>
      </c>
    </row>
    <row r="29" spans="1:9" x14ac:dyDescent="0.45">
      <c r="A29" s="6" t="s">
        <v>63</v>
      </c>
      <c r="B29" s="6" t="s">
        <v>66</v>
      </c>
      <c r="C29" s="6">
        <v>7</v>
      </c>
      <c r="D29" s="10">
        <v>80500</v>
      </c>
    </row>
    <row r="30" spans="1:9" x14ac:dyDescent="0.45">
      <c r="A30" s="6" t="s">
        <v>65</v>
      </c>
      <c r="B30" s="6" t="s">
        <v>69</v>
      </c>
      <c r="C30" s="6">
        <v>15</v>
      </c>
      <c r="D30" s="10">
        <v>278250</v>
      </c>
    </row>
    <row r="32" spans="1:9" x14ac:dyDescent="0.45">
      <c r="A32" s="17" t="s">
        <v>70</v>
      </c>
      <c r="B32" s="17"/>
      <c r="C32" s="17"/>
      <c r="D32" s="11"/>
    </row>
  </sheetData>
  <mergeCells count="2">
    <mergeCell ref="A32:C32"/>
    <mergeCell ref="F22:H2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sheetPr codeName="Sheet5"/>
  <dimension ref="A1:F15"/>
  <sheetViews>
    <sheetView workbookViewId="0">
      <selection sqref="A1:F1"/>
    </sheetView>
  </sheetViews>
  <sheetFormatPr defaultRowHeight="17" x14ac:dyDescent="0.45"/>
  <sheetData>
    <row r="1" spans="1:6" ht="21" x14ac:dyDescent="0.45">
      <c r="A1" s="16" t="s">
        <v>118</v>
      </c>
      <c r="B1" s="16"/>
      <c r="C1" s="16"/>
      <c r="D1" s="16"/>
      <c r="E1" s="16"/>
      <c r="F1" s="16"/>
    </row>
    <row r="3" spans="1:6" x14ac:dyDescent="0.45">
      <c r="A3" s="6" t="s">
        <v>119</v>
      </c>
      <c r="B3" s="6" t="s">
        <v>80</v>
      </c>
      <c r="C3" s="6" t="s">
        <v>229</v>
      </c>
      <c r="D3" s="6" t="s">
        <v>245</v>
      </c>
      <c r="E3" s="6" t="s">
        <v>120</v>
      </c>
      <c r="F3" s="6" t="s">
        <v>121</v>
      </c>
    </row>
    <row r="4" spans="1:6" x14ac:dyDescent="0.45">
      <c r="A4" s="6">
        <v>3111</v>
      </c>
      <c r="B4" s="6" t="s">
        <v>92</v>
      </c>
      <c r="C4" s="6" t="s">
        <v>90</v>
      </c>
      <c r="D4" s="6" t="s">
        <v>93</v>
      </c>
      <c r="E4" s="10">
        <v>46200</v>
      </c>
      <c r="F4" s="10">
        <v>45000</v>
      </c>
    </row>
    <row r="5" spans="1:6" x14ac:dyDescent="0.45">
      <c r="A5" s="6">
        <v>3214</v>
      </c>
      <c r="B5" s="6" t="s">
        <v>122</v>
      </c>
      <c r="C5" s="6" t="s">
        <v>95</v>
      </c>
      <c r="D5" s="6" t="s">
        <v>123</v>
      </c>
      <c r="E5" s="10">
        <v>12500</v>
      </c>
      <c r="F5" s="10">
        <v>21000</v>
      </c>
    </row>
    <row r="6" spans="1:6" x14ac:dyDescent="0.45">
      <c r="A6" s="6">
        <v>3312</v>
      </c>
      <c r="B6" s="6" t="s">
        <v>124</v>
      </c>
      <c r="C6" s="6" t="s">
        <v>90</v>
      </c>
      <c r="D6" s="6" t="s">
        <v>125</v>
      </c>
      <c r="E6" s="10">
        <v>32560</v>
      </c>
      <c r="F6" s="10">
        <v>33000</v>
      </c>
    </row>
    <row r="7" spans="1:6" x14ac:dyDescent="0.45">
      <c r="A7" s="6">
        <v>3114</v>
      </c>
      <c r="B7" s="6" t="s">
        <v>97</v>
      </c>
      <c r="C7" s="6" t="s">
        <v>95</v>
      </c>
      <c r="D7" s="6" t="s">
        <v>93</v>
      </c>
      <c r="E7" s="10">
        <v>62500</v>
      </c>
      <c r="F7" s="10">
        <v>65000</v>
      </c>
    </row>
    <row r="8" spans="1:6" x14ac:dyDescent="0.45">
      <c r="A8" s="6">
        <v>3211</v>
      </c>
      <c r="B8" s="6" t="s">
        <v>126</v>
      </c>
      <c r="C8" s="6" t="s">
        <v>90</v>
      </c>
      <c r="D8" s="6" t="s">
        <v>123</v>
      </c>
      <c r="E8" s="10">
        <v>45600</v>
      </c>
      <c r="F8" s="10">
        <v>43000</v>
      </c>
    </row>
    <row r="9" spans="1:6" x14ac:dyDescent="0.45">
      <c r="A9" s="6">
        <v>3112</v>
      </c>
      <c r="B9" s="6" t="s">
        <v>127</v>
      </c>
      <c r="C9" s="6" t="s">
        <v>95</v>
      </c>
      <c r="D9" s="6" t="s">
        <v>93</v>
      </c>
      <c r="E9" s="10">
        <v>56800</v>
      </c>
      <c r="F9" s="10">
        <v>60000</v>
      </c>
    </row>
    <row r="10" spans="1:6" x14ac:dyDescent="0.45">
      <c r="A10" s="6">
        <v>3212</v>
      </c>
      <c r="B10" s="6" t="s">
        <v>128</v>
      </c>
      <c r="C10" s="6" t="s">
        <v>95</v>
      </c>
      <c r="D10" s="6" t="s">
        <v>123</v>
      </c>
      <c r="E10" s="10">
        <v>35200</v>
      </c>
      <c r="F10" s="10">
        <v>35000</v>
      </c>
    </row>
    <row r="11" spans="1:6" x14ac:dyDescent="0.45">
      <c r="A11" s="6">
        <v>3311</v>
      </c>
      <c r="B11" s="6" t="s">
        <v>129</v>
      </c>
      <c r="C11" s="6" t="s">
        <v>90</v>
      </c>
      <c r="D11" s="6" t="s">
        <v>125</v>
      </c>
      <c r="E11" s="10">
        <v>58000</v>
      </c>
      <c r="F11" s="10">
        <v>60000</v>
      </c>
    </row>
    <row r="12" spans="1:6" x14ac:dyDescent="0.45">
      <c r="A12" s="6">
        <v>3113</v>
      </c>
      <c r="B12" s="6" t="s">
        <v>130</v>
      </c>
      <c r="C12" s="6" t="s">
        <v>95</v>
      </c>
      <c r="D12" s="6" t="s">
        <v>93</v>
      </c>
      <c r="E12" s="10">
        <v>46330</v>
      </c>
      <c r="F12" s="10">
        <v>55000</v>
      </c>
    </row>
    <row r="13" spans="1:6" x14ac:dyDescent="0.45">
      <c r="A13" s="6">
        <v>3313</v>
      </c>
      <c r="B13" s="6" t="s">
        <v>131</v>
      </c>
      <c r="C13" s="6" t="s">
        <v>95</v>
      </c>
      <c r="D13" s="6" t="s">
        <v>125</v>
      </c>
      <c r="E13" s="10">
        <v>95620</v>
      </c>
      <c r="F13" s="10">
        <v>95480</v>
      </c>
    </row>
    <row r="14" spans="1:6" x14ac:dyDescent="0.45">
      <c r="A14" s="6">
        <v>3213</v>
      </c>
      <c r="B14" s="6" t="s">
        <v>132</v>
      </c>
      <c r="C14" s="6" t="s">
        <v>95</v>
      </c>
      <c r="D14" s="6" t="s">
        <v>123</v>
      </c>
      <c r="E14" s="10">
        <v>64250</v>
      </c>
      <c r="F14" s="10">
        <v>56000</v>
      </c>
    </row>
    <row r="15" spans="1:6" x14ac:dyDescent="0.45">
      <c r="A15" s="6">
        <v>3314</v>
      </c>
      <c r="B15" s="6" t="s">
        <v>133</v>
      </c>
      <c r="C15" s="6" t="s">
        <v>95</v>
      </c>
      <c r="D15" s="6" t="s">
        <v>125</v>
      </c>
      <c r="E15" s="10">
        <v>32560</v>
      </c>
      <c r="F15" s="10">
        <v>32660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sheetPr codeName="Sheet6"/>
  <dimension ref="A1:H15"/>
  <sheetViews>
    <sheetView workbookViewId="0">
      <selection sqref="A1:H1"/>
    </sheetView>
  </sheetViews>
  <sheetFormatPr defaultRowHeight="17" x14ac:dyDescent="0.45"/>
  <cols>
    <col min="5" max="5" width="10.58203125" bestFit="1" customWidth="1"/>
    <col min="7" max="8" width="10.58203125" bestFit="1" customWidth="1"/>
  </cols>
  <sheetData>
    <row r="1" spans="1:8" ht="21" x14ac:dyDescent="0.45">
      <c r="A1" s="16" t="s">
        <v>134</v>
      </c>
      <c r="B1" s="16"/>
      <c r="C1" s="16"/>
      <c r="D1" s="16"/>
      <c r="E1" s="16"/>
      <c r="F1" s="16"/>
      <c r="G1" s="16"/>
      <c r="H1" s="16"/>
    </row>
    <row r="2" spans="1:8" x14ac:dyDescent="0.45">
      <c r="H2" s="8" t="s">
        <v>135</v>
      </c>
    </row>
    <row r="3" spans="1:8" x14ac:dyDescent="0.45">
      <c r="A3" s="6" t="s">
        <v>22</v>
      </c>
      <c r="B3" s="6" t="s">
        <v>81</v>
      </c>
      <c r="C3" s="6" t="s">
        <v>136</v>
      </c>
      <c r="D3" s="6" t="s">
        <v>137</v>
      </c>
      <c r="E3" s="6" t="s">
        <v>104</v>
      </c>
      <c r="F3" s="6" t="s">
        <v>138</v>
      </c>
      <c r="G3" s="6" t="s">
        <v>24</v>
      </c>
      <c r="H3" s="6" t="s">
        <v>139</v>
      </c>
    </row>
    <row r="4" spans="1:8" x14ac:dyDescent="0.45">
      <c r="A4" s="6" t="s">
        <v>140</v>
      </c>
      <c r="B4" s="6" t="s">
        <v>18</v>
      </c>
      <c r="C4" s="6" t="s">
        <v>108</v>
      </c>
      <c r="D4" s="6">
        <v>30</v>
      </c>
      <c r="E4" s="10">
        <v>4650000</v>
      </c>
      <c r="F4" s="13">
        <f>IF(C4="부장",30%,IF(C4="과장",25%,IF(C4="대리",20%,17%)))</f>
        <v>0.3</v>
      </c>
      <c r="G4" s="10">
        <f>E4*F4</f>
        <v>1395000</v>
      </c>
      <c r="H4" s="10">
        <f>E4+G4</f>
        <v>6045000</v>
      </c>
    </row>
    <row r="5" spans="1:8" x14ac:dyDescent="0.45">
      <c r="A5" s="6" t="s">
        <v>141</v>
      </c>
      <c r="B5" s="6" t="s">
        <v>142</v>
      </c>
      <c r="C5" s="6" t="s">
        <v>95</v>
      </c>
      <c r="D5" s="6">
        <v>24</v>
      </c>
      <c r="E5" s="10">
        <v>2650000</v>
      </c>
      <c r="F5" s="13">
        <f t="shared" ref="F5:F15" si="0">IF(C5="부장",30%,IF(C5="과장",25%,IF(C5="대리",20%,17%)))</f>
        <v>0.17</v>
      </c>
      <c r="G5" s="10">
        <f t="shared" ref="G5:G15" si="1">E5*F5</f>
        <v>450500.00000000006</v>
      </c>
      <c r="H5" s="10">
        <f t="shared" ref="H5:H15" si="2">E5+G5</f>
        <v>3100500</v>
      </c>
    </row>
    <row r="6" spans="1:8" x14ac:dyDescent="0.45">
      <c r="A6" s="6" t="s">
        <v>143</v>
      </c>
      <c r="B6" s="6" t="s">
        <v>18</v>
      </c>
      <c r="C6" s="6" t="s">
        <v>95</v>
      </c>
      <c r="D6" s="6">
        <v>19</v>
      </c>
      <c r="E6" s="10">
        <v>2650000</v>
      </c>
      <c r="F6" s="13">
        <f t="shared" si="0"/>
        <v>0.17</v>
      </c>
      <c r="G6" s="10">
        <f t="shared" si="1"/>
        <v>450500.00000000006</v>
      </c>
      <c r="H6" s="10">
        <f t="shared" si="2"/>
        <v>3100500</v>
      </c>
    </row>
    <row r="7" spans="1:8" x14ac:dyDescent="0.45">
      <c r="A7" s="6" t="s">
        <v>144</v>
      </c>
      <c r="B7" s="6" t="s">
        <v>145</v>
      </c>
      <c r="C7" s="6" t="s">
        <v>90</v>
      </c>
      <c r="D7" s="6">
        <v>6</v>
      </c>
      <c r="E7" s="10">
        <v>3200000</v>
      </c>
      <c r="F7" s="13">
        <f t="shared" si="0"/>
        <v>0.2</v>
      </c>
      <c r="G7" s="10">
        <f t="shared" si="1"/>
        <v>640000</v>
      </c>
      <c r="H7" s="10">
        <f t="shared" si="2"/>
        <v>3840000</v>
      </c>
    </row>
    <row r="8" spans="1:8" x14ac:dyDescent="0.45">
      <c r="A8" s="6" t="s">
        <v>146</v>
      </c>
      <c r="B8" s="6" t="s">
        <v>142</v>
      </c>
      <c r="C8" s="6" t="s">
        <v>108</v>
      </c>
      <c r="D8" s="6">
        <v>28</v>
      </c>
      <c r="E8" s="10">
        <v>4650000</v>
      </c>
      <c r="F8" s="13">
        <f t="shared" si="0"/>
        <v>0.3</v>
      </c>
      <c r="G8" s="10">
        <f t="shared" si="1"/>
        <v>1395000</v>
      </c>
      <c r="H8" s="10">
        <f t="shared" si="2"/>
        <v>6045000</v>
      </c>
    </row>
    <row r="9" spans="1:8" x14ac:dyDescent="0.45">
      <c r="A9" s="6" t="s">
        <v>147</v>
      </c>
      <c r="B9" s="6" t="s">
        <v>18</v>
      </c>
      <c r="C9" s="6" t="s">
        <v>110</v>
      </c>
      <c r="D9" s="6">
        <v>20</v>
      </c>
      <c r="E9" s="10">
        <v>3800000</v>
      </c>
      <c r="F9" s="13">
        <f t="shared" si="0"/>
        <v>0.25</v>
      </c>
      <c r="G9" s="10">
        <f t="shared" si="1"/>
        <v>950000</v>
      </c>
      <c r="H9" s="10">
        <f t="shared" si="2"/>
        <v>4750000</v>
      </c>
    </row>
    <row r="10" spans="1:8" x14ac:dyDescent="0.45">
      <c r="A10" s="6" t="s">
        <v>148</v>
      </c>
      <c r="B10" s="6" t="s">
        <v>145</v>
      </c>
      <c r="C10" s="6" t="s">
        <v>108</v>
      </c>
      <c r="D10" s="6">
        <v>24</v>
      </c>
      <c r="E10" s="10">
        <v>4650000</v>
      </c>
      <c r="F10" s="13">
        <f t="shared" si="0"/>
        <v>0.3</v>
      </c>
      <c r="G10" s="10">
        <f t="shared" si="1"/>
        <v>1395000</v>
      </c>
      <c r="H10" s="10">
        <f t="shared" si="2"/>
        <v>6045000</v>
      </c>
    </row>
    <row r="11" spans="1:8" x14ac:dyDescent="0.45">
      <c r="A11" s="6" t="s">
        <v>149</v>
      </c>
      <c r="B11" s="6" t="s">
        <v>142</v>
      </c>
      <c r="C11" s="6" t="s">
        <v>90</v>
      </c>
      <c r="D11" s="6">
        <v>15</v>
      </c>
      <c r="E11" s="10">
        <v>3200000</v>
      </c>
      <c r="F11" s="13">
        <f t="shared" si="0"/>
        <v>0.2</v>
      </c>
      <c r="G11" s="10">
        <f t="shared" si="1"/>
        <v>640000</v>
      </c>
      <c r="H11" s="10">
        <f t="shared" si="2"/>
        <v>3840000</v>
      </c>
    </row>
    <row r="12" spans="1:8" x14ac:dyDescent="0.45">
      <c r="A12" s="6" t="s">
        <v>150</v>
      </c>
      <c r="B12" s="6" t="s">
        <v>18</v>
      </c>
      <c r="C12" s="6" t="s">
        <v>90</v>
      </c>
      <c r="D12" s="6">
        <v>18</v>
      </c>
      <c r="E12" s="10">
        <v>3200000</v>
      </c>
      <c r="F12" s="13">
        <f t="shared" si="0"/>
        <v>0.2</v>
      </c>
      <c r="G12" s="10">
        <f t="shared" si="1"/>
        <v>640000</v>
      </c>
      <c r="H12" s="10">
        <f t="shared" si="2"/>
        <v>3840000</v>
      </c>
    </row>
    <row r="13" spans="1:8" x14ac:dyDescent="0.45">
      <c r="A13" s="6" t="s">
        <v>151</v>
      </c>
      <c r="B13" s="6" t="s">
        <v>145</v>
      </c>
      <c r="C13" s="6" t="s">
        <v>110</v>
      </c>
      <c r="D13" s="6">
        <v>25</v>
      </c>
      <c r="E13" s="10">
        <v>3800000</v>
      </c>
      <c r="F13" s="13">
        <f t="shared" si="0"/>
        <v>0.25</v>
      </c>
      <c r="G13" s="10">
        <f t="shared" si="1"/>
        <v>950000</v>
      </c>
      <c r="H13" s="10">
        <f t="shared" si="2"/>
        <v>4750000</v>
      </c>
    </row>
    <row r="14" spans="1:8" x14ac:dyDescent="0.45">
      <c r="A14" s="6" t="s">
        <v>152</v>
      </c>
      <c r="B14" s="6" t="s">
        <v>145</v>
      </c>
      <c r="C14" s="6" t="s">
        <v>95</v>
      </c>
      <c r="D14" s="6">
        <v>12</v>
      </c>
      <c r="E14" s="10">
        <v>2650000</v>
      </c>
      <c r="F14" s="13">
        <f t="shared" si="0"/>
        <v>0.17</v>
      </c>
      <c r="G14" s="10">
        <f t="shared" si="1"/>
        <v>450500.00000000006</v>
      </c>
      <c r="H14" s="10">
        <f t="shared" si="2"/>
        <v>3100500</v>
      </c>
    </row>
    <row r="15" spans="1:8" x14ac:dyDescent="0.45">
      <c r="A15" s="6" t="s">
        <v>153</v>
      </c>
      <c r="B15" s="6" t="s">
        <v>142</v>
      </c>
      <c r="C15" s="6" t="s">
        <v>110</v>
      </c>
      <c r="D15" s="6">
        <v>10</v>
      </c>
      <c r="E15" s="10">
        <v>3800000</v>
      </c>
      <c r="F15" s="13">
        <f t="shared" si="0"/>
        <v>0.25</v>
      </c>
      <c r="G15" s="10">
        <f t="shared" si="1"/>
        <v>950000</v>
      </c>
      <c r="H15" s="10">
        <f t="shared" si="2"/>
        <v>4750000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sheetPr codeName="Sheet7"/>
  <dimension ref="A1:G13"/>
  <sheetViews>
    <sheetView workbookViewId="0">
      <selection sqref="A1:G1"/>
    </sheetView>
  </sheetViews>
  <sheetFormatPr defaultRowHeight="17" x14ac:dyDescent="0.45"/>
  <cols>
    <col min="2" max="2" width="11" bestFit="1" customWidth="1"/>
    <col min="3" max="3" width="9.25" bestFit="1" customWidth="1"/>
    <col min="7" max="7" width="9.08203125" customWidth="1"/>
  </cols>
  <sheetData>
    <row r="1" spans="1:7" ht="21" x14ac:dyDescent="0.45">
      <c r="A1" s="16" t="s">
        <v>154</v>
      </c>
      <c r="B1" s="16"/>
      <c r="C1" s="16"/>
      <c r="D1" s="16"/>
      <c r="E1" s="16"/>
      <c r="F1" s="16"/>
      <c r="G1" s="16"/>
    </row>
    <row r="3" spans="1:7" x14ac:dyDescent="0.45">
      <c r="A3" s="6" t="s">
        <v>155</v>
      </c>
      <c r="B3" s="6" t="s">
        <v>40</v>
      </c>
      <c r="C3" s="6" t="s">
        <v>156</v>
      </c>
      <c r="D3" s="6" t="s">
        <v>157</v>
      </c>
      <c r="E3" s="6" t="s">
        <v>60</v>
      </c>
      <c r="F3" s="6" t="s">
        <v>158</v>
      </c>
      <c r="G3" s="6" t="s">
        <v>42</v>
      </c>
    </row>
    <row r="4" spans="1:7" x14ac:dyDescent="0.45">
      <c r="A4" s="6" t="s">
        <v>159</v>
      </c>
      <c r="B4" s="6" t="s">
        <v>160</v>
      </c>
      <c r="C4" s="6" t="s">
        <v>161</v>
      </c>
      <c r="D4" s="6" t="s">
        <v>162</v>
      </c>
      <c r="E4" s="6">
        <v>30</v>
      </c>
      <c r="F4" s="10">
        <v>10000</v>
      </c>
      <c r="G4" s="10"/>
    </row>
    <row r="5" spans="1:7" x14ac:dyDescent="0.45">
      <c r="A5" s="6" t="s">
        <v>163</v>
      </c>
      <c r="B5" s="6" t="s">
        <v>181</v>
      </c>
      <c r="C5" s="6" t="s">
        <v>182</v>
      </c>
      <c r="D5" s="6" t="s">
        <v>164</v>
      </c>
      <c r="E5" s="6">
        <v>15</v>
      </c>
      <c r="F5" s="10">
        <v>50000</v>
      </c>
      <c r="G5" s="10"/>
    </row>
    <row r="6" spans="1:7" x14ac:dyDescent="0.45">
      <c r="A6" s="6" t="s">
        <v>165</v>
      </c>
      <c r="B6" s="6" t="s">
        <v>166</v>
      </c>
      <c r="C6" s="6" t="s">
        <v>167</v>
      </c>
      <c r="D6" s="6" t="s">
        <v>168</v>
      </c>
      <c r="E6" s="6">
        <v>20</v>
      </c>
      <c r="F6" s="10">
        <v>2500</v>
      </c>
      <c r="G6" s="10"/>
    </row>
    <row r="7" spans="1:7" x14ac:dyDescent="0.45">
      <c r="A7" s="6" t="s">
        <v>169</v>
      </c>
      <c r="B7" s="6" t="s">
        <v>170</v>
      </c>
      <c r="C7" s="6" t="s">
        <v>171</v>
      </c>
      <c r="D7" s="6" t="s">
        <v>162</v>
      </c>
      <c r="E7" s="6">
        <v>50</v>
      </c>
      <c r="F7" s="10">
        <v>15000</v>
      </c>
      <c r="G7" s="10"/>
    </row>
    <row r="8" spans="1:7" x14ac:dyDescent="0.45">
      <c r="A8" s="6" t="s">
        <v>165</v>
      </c>
      <c r="B8" s="6" t="s">
        <v>0</v>
      </c>
      <c r="C8" s="6" t="s">
        <v>172</v>
      </c>
      <c r="D8" s="6" t="s">
        <v>168</v>
      </c>
      <c r="E8" s="6">
        <v>20</v>
      </c>
      <c r="F8" s="10">
        <v>2500</v>
      </c>
      <c r="G8" s="10"/>
    </row>
    <row r="9" spans="1:7" x14ac:dyDescent="0.45">
      <c r="A9" s="6" t="s">
        <v>173</v>
      </c>
      <c r="B9" s="6" t="s">
        <v>1</v>
      </c>
      <c r="C9" s="6" t="s">
        <v>183</v>
      </c>
      <c r="D9" s="6" t="s">
        <v>164</v>
      </c>
      <c r="E9" s="6">
        <v>20</v>
      </c>
      <c r="F9" s="10">
        <v>30000</v>
      </c>
      <c r="G9" s="10"/>
    </row>
    <row r="10" spans="1:7" x14ac:dyDescent="0.45">
      <c r="A10" s="6" t="s">
        <v>174</v>
      </c>
      <c r="B10" s="6" t="s">
        <v>3</v>
      </c>
      <c r="C10" s="6" t="s">
        <v>184</v>
      </c>
      <c r="D10" s="6" t="s">
        <v>168</v>
      </c>
      <c r="E10" s="6">
        <v>20</v>
      </c>
      <c r="F10" s="10">
        <v>3000</v>
      </c>
      <c r="G10" s="10"/>
    </row>
    <row r="11" spans="1:7" x14ac:dyDescent="0.45">
      <c r="A11" s="6" t="s">
        <v>175</v>
      </c>
      <c r="B11" s="6" t="s">
        <v>185</v>
      </c>
      <c r="C11" s="6" t="s">
        <v>186</v>
      </c>
      <c r="D11" s="6" t="s">
        <v>176</v>
      </c>
      <c r="E11" s="6">
        <v>200</v>
      </c>
      <c r="F11" s="10">
        <v>2000</v>
      </c>
      <c r="G11" s="10"/>
    </row>
    <row r="12" spans="1:7" x14ac:dyDescent="0.45">
      <c r="A12" s="6" t="s">
        <v>177</v>
      </c>
      <c r="B12" s="6" t="s">
        <v>187</v>
      </c>
      <c r="C12" s="6" t="s">
        <v>188</v>
      </c>
      <c r="D12" s="6" t="s">
        <v>162</v>
      </c>
      <c r="E12" s="6">
        <v>10</v>
      </c>
      <c r="F12" s="10">
        <v>3000</v>
      </c>
      <c r="G12" s="10"/>
    </row>
    <row r="13" spans="1:7" x14ac:dyDescent="0.45">
      <c r="A13" s="6" t="s">
        <v>178</v>
      </c>
      <c r="B13" s="6" t="s">
        <v>179</v>
      </c>
      <c r="C13" s="6" t="s">
        <v>180</v>
      </c>
      <c r="D13" s="6" t="s">
        <v>164</v>
      </c>
      <c r="E13" s="6">
        <v>10</v>
      </c>
      <c r="F13" s="10">
        <v>2000</v>
      </c>
      <c r="G13" s="10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sheetPr codeName="Sheet8"/>
  <dimension ref="A1:G10"/>
  <sheetViews>
    <sheetView workbookViewId="0">
      <selection sqref="A1:G1"/>
    </sheetView>
  </sheetViews>
  <sheetFormatPr defaultRowHeight="17" x14ac:dyDescent="0.45"/>
  <sheetData>
    <row r="1" spans="1:7" ht="21" x14ac:dyDescent="0.45">
      <c r="A1" s="16" t="s">
        <v>189</v>
      </c>
      <c r="B1" s="16"/>
      <c r="C1" s="16"/>
      <c r="D1" s="16"/>
      <c r="E1" s="16"/>
      <c r="F1" s="16"/>
      <c r="G1" s="16"/>
    </row>
    <row r="3" spans="1:7" x14ac:dyDescent="0.45">
      <c r="A3" s="6" t="s">
        <v>190</v>
      </c>
      <c r="B3" s="6" t="s">
        <v>22</v>
      </c>
      <c r="C3" s="6" t="s">
        <v>191</v>
      </c>
      <c r="D3" s="6" t="s">
        <v>192</v>
      </c>
      <c r="E3" s="6" t="s">
        <v>193</v>
      </c>
      <c r="F3" s="6" t="s">
        <v>194</v>
      </c>
      <c r="G3" s="6" t="s">
        <v>195</v>
      </c>
    </row>
    <row r="4" spans="1:7" x14ac:dyDescent="0.45">
      <c r="A4" s="6" t="s">
        <v>196</v>
      </c>
      <c r="B4" s="6" t="s">
        <v>197</v>
      </c>
      <c r="C4" s="6" t="s">
        <v>198</v>
      </c>
      <c r="D4" s="6">
        <v>720</v>
      </c>
      <c r="E4" s="6">
        <v>498</v>
      </c>
      <c r="F4" s="6">
        <v>3.41</v>
      </c>
      <c r="G4" s="6">
        <v>860</v>
      </c>
    </row>
    <row r="5" spans="1:7" x14ac:dyDescent="0.45">
      <c r="A5" s="6" t="s">
        <v>199</v>
      </c>
      <c r="B5" s="6" t="s">
        <v>200</v>
      </c>
      <c r="C5" s="6" t="s">
        <v>201</v>
      </c>
      <c r="D5" s="6">
        <v>710</v>
      </c>
      <c r="E5" s="6">
        <v>475</v>
      </c>
      <c r="F5" s="6">
        <v>3.43</v>
      </c>
      <c r="G5" s="6">
        <v>910</v>
      </c>
    </row>
    <row r="6" spans="1:7" x14ac:dyDescent="0.45">
      <c r="A6" s="6" t="s">
        <v>202</v>
      </c>
      <c r="B6" s="6" t="s">
        <v>203</v>
      </c>
      <c r="C6" s="6" t="s">
        <v>201</v>
      </c>
      <c r="D6" s="6">
        <v>840</v>
      </c>
      <c r="E6" s="6">
        <v>556</v>
      </c>
      <c r="F6" s="6">
        <v>2.94</v>
      </c>
      <c r="G6" s="6">
        <v>980</v>
      </c>
    </row>
    <row r="7" spans="1:7" x14ac:dyDescent="0.45">
      <c r="A7" s="6" t="s">
        <v>204</v>
      </c>
      <c r="B7" s="6" t="s">
        <v>205</v>
      </c>
      <c r="C7" s="6" t="s">
        <v>201</v>
      </c>
      <c r="D7" s="6">
        <v>775</v>
      </c>
      <c r="E7" s="6">
        <v>510</v>
      </c>
      <c r="F7" s="6">
        <v>3.49</v>
      </c>
      <c r="G7" s="6">
        <v>890</v>
      </c>
    </row>
    <row r="8" spans="1:7" x14ac:dyDescent="0.45">
      <c r="A8" s="6" t="s">
        <v>206</v>
      </c>
      <c r="B8" s="6" t="s">
        <v>207</v>
      </c>
      <c r="C8" s="6" t="s">
        <v>201</v>
      </c>
      <c r="D8" s="6">
        <v>765</v>
      </c>
      <c r="E8" s="6">
        <v>499</v>
      </c>
      <c r="F8" s="6">
        <v>3.9</v>
      </c>
      <c r="G8" s="6">
        <v>780</v>
      </c>
    </row>
    <row r="9" spans="1:7" x14ac:dyDescent="0.45">
      <c r="A9" s="6" t="s">
        <v>208</v>
      </c>
      <c r="B9" s="6" t="s">
        <v>209</v>
      </c>
      <c r="C9" s="6" t="s">
        <v>198</v>
      </c>
      <c r="D9" s="6">
        <v>665</v>
      </c>
      <c r="E9" s="6">
        <v>412</v>
      </c>
      <c r="F9" s="6">
        <v>3.63</v>
      </c>
      <c r="G9" s="6">
        <v>910</v>
      </c>
    </row>
    <row r="10" spans="1:7" x14ac:dyDescent="0.45">
      <c r="A10" s="6" t="s">
        <v>210</v>
      </c>
      <c r="B10" s="6" t="s">
        <v>211</v>
      </c>
      <c r="C10" s="6" t="s">
        <v>198</v>
      </c>
      <c r="D10" s="6">
        <v>875</v>
      </c>
      <c r="E10" s="6">
        <v>624</v>
      </c>
      <c r="F10" s="6">
        <v>3.52</v>
      </c>
      <c r="G10" s="6">
        <v>810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2024-07-16T08:16:06Z</dcterms:modified>
</cp:coreProperties>
</file>