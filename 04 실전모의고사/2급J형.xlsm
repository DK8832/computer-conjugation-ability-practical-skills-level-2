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44080E57-E70E-4249-B202-5D18372DBCB2}" xr6:coauthVersionLast="47" xr6:coauthVersionMax="47" xr10:uidLastSave="{00000000-0000-0000-0000-000000000000}"/>
  <bookViews>
    <workbookView xWindow="-36280" yWindow="2380" windowWidth="2924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8" l="1"/>
  <c r="D6" i="8"/>
  <c r="D7" i="8"/>
  <c r="D8" i="8"/>
  <c r="D4" i="8"/>
  <c r="J12" i="6"/>
  <c r="K12" i="6"/>
  <c r="I12" i="6"/>
  <c r="C12" i="6"/>
  <c r="D12" i="6"/>
  <c r="B12" i="6"/>
  <c r="F4" i="6"/>
  <c r="F5" i="6"/>
  <c r="F6" i="6"/>
  <c r="F7" i="6"/>
  <c r="F8" i="6"/>
  <c r="F9" i="6"/>
  <c r="F10" i="6"/>
  <c r="F11" i="6"/>
  <c r="F3" i="6"/>
  <c r="E13" i="5"/>
  <c r="F13" i="5"/>
  <c r="G13" i="5"/>
  <c r="H13" i="5"/>
  <c r="D13" i="5"/>
</calcChain>
</file>

<file path=xl/sharedStrings.xml><?xml version="1.0" encoding="utf-8"?>
<sst xmlns="http://schemas.openxmlformats.org/spreadsheetml/2006/main" count="264" uniqueCount="195">
  <si>
    <t>우리상사의 직원현황</t>
    <phoneticPr fontId="1" type="noConversion"/>
  </si>
  <si>
    <t>품목</t>
  </si>
  <si>
    <t>수량</t>
  </si>
  <si>
    <t>[표2]</t>
  </si>
  <si>
    <t>판매 현황</t>
  </si>
  <si>
    <t>고객번호</t>
  </si>
  <si>
    <t>판매가</t>
  </si>
  <si>
    <t>매입수량</t>
  </si>
  <si>
    <t>매입처</t>
  </si>
  <si>
    <t>A-30101</t>
  </si>
  <si>
    <t>현대상사</t>
  </si>
  <si>
    <t>A-30102</t>
  </si>
  <si>
    <t>대림상사</t>
  </si>
  <si>
    <t>A-30103</t>
  </si>
  <si>
    <t>동아상사</t>
  </si>
  <si>
    <t>A-30104</t>
  </si>
  <si>
    <t>삼성상사</t>
  </si>
  <si>
    <t>B-22100</t>
  </si>
  <si>
    <t>B-22101</t>
  </si>
  <si>
    <t>B-22102</t>
  </si>
  <si>
    <t>B-22103</t>
  </si>
  <si>
    <t>C-34001</t>
  </si>
  <si>
    <t>&lt;조건&gt;</t>
    <phoneticPr fontId="1" type="noConversion"/>
  </si>
  <si>
    <t>삼성-대림 수량 차이</t>
    <phoneticPr fontId="1" type="noConversion"/>
  </si>
  <si>
    <t>[표3]</t>
  </si>
  <si>
    <t>생산 현황</t>
  </si>
  <si>
    <t>공장</t>
  </si>
  <si>
    <t>1월</t>
  </si>
  <si>
    <t>2월</t>
  </si>
  <si>
    <t>3월</t>
  </si>
  <si>
    <t>총생산량</t>
  </si>
  <si>
    <t>1공장</t>
  </si>
  <si>
    <t>2공장</t>
  </si>
  <si>
    <t>3공장</t>
  </si>
  <si>
    <t>4공장</t>
  </si>
  <si>
    <t>5공장</t>
  </si>
  <si>
    <t>6공장</t>
  </si>
  <si>
    <t>7공장</t>
  </si>
  <si>
    <t>8공장</t>
  </si>
  <si>
    <t>생산량이 가장 많은 공장</t>
  </si>
  <si>
    <t xml:space="preserve">[표4] </t>
  </si>
  <si>
    <t>엑스트라 출연일지</t>
  </si>
  <si>
    <t>이름</t>
  </si>
  <si>
    <t>문제1</t>
  </si>
  <si>
    <t>문제2</t>
  </si>
  <si>
    <t>문제3</t>
  </si>
  <si>
    <t>문제4</t>
  </si>
  <si>
    <t>문제5</t>
  </si>
  <si>
    <t>점수</t>
  </si>
  <si>
    <t>이상철</t>
  </si>
  <si>
    <t>○</t>
  </si>
  <si>
    <t>김훈영</t>
  </si>
  <si>
    <t>한철진</t>
  </si>
  <si>
    <t>이방자</t>
  </si>
  <si>
    <t>김용인</t>
  </si>
  <si>
    <t>[표5]</t>
  </si>
  <si>
    <t>1사분기 영업 실적</t>
  </si>
  <si>
    <t>사번</t>
  </si>
  <si>
    <t>부서</t>
  </si>
  <si>
    <t>김사원</t>
  </si>
  <si>
    <t>영업2부</t>
  </si>
  <si>
    <t>김흥부</t>
  </si>
  <si>
    <t>노지심</t>
  </si>
  <si>
    <t>영업1부</t>
  </si>
  <si>
    <t>송치윤</t>
  </si>
  <si>
    <t>영업4부</t>
  </si>
  <si>
    <t>이관우</t>
  </si>
  <si>
    <t>영업3부</t>
  </si>
  <si>
    <t>이봉주</t>
  </si>
  <si>
    <t>이수진</t>
  </si>
  <si>
    <t>표준편차</t>
    <phoneticPr fontId="1" type="noConversion"/>
  </si>
  <si>
    <t>상반기 대리점별 판매현황</t>
  </si>
  <si>
    <t>지역</t>
  </si>
  <si>
    <t>상점명</t>
  </si>
  <si>
    <t>계획수량</t>
  </si>
  <si>
    <t>판매수량</t>
  </si>
  <si>
    <t>실적율</t>
  </si>
  <si>
    <t>실적증감</t>
  </si>
  <si>
    <t>성북</t>
  </si>
  <si>
    <t>한신</t>
  </si>
  <si>
    <t>고려</t>
  </si>
  <si>
    <t>영광</t>
  </si>
  <si>
    <t>강북</t>
  </si>
  <si>
    <t>부광</t>
  </si>
  <si>
    <t>다솔</t>
  </si>
  <si>
    <t>현대</t>
  </si>
  <si>
    <t>강남</t>
  </si>
  <si>
    <t>알뜰</t>
  </si>
  <si>
    <t>성심</t>
  </si>
  <si>
    <t>한국</t>
  </si>
  <si>
    <t>월드 스포츠 클럽 청구내역</t>
    <phoneticPr fontId="1" type="noConversion"/>
  </si>
  <si>
    <t>회원이름</t>
  </si>
  <si>
    <t>회원등급</t>
  </si>
  <si>
    <t>운동명</t>
  </si>
  <si>
    <t>사용시간</t>
  </si>
  <si>
    <t>할인시간</t>
  </si>
  <si>
    <t>사용요금</t>
  </si>
  <si>
    <t>레슨비용</t>
  </si>
  <si>
    <t>청구액</t>
  </si>
  <si>
    <t>박종수</t>
  </si>
  <si>
    <t>정회원</t>
  </si>
  <si>
    <t>수영</t>
  </si>
  <si>
    <t>최용준</t>
  </si>
  <si>
    <t>헬스</t>
  </si>
  <si>
    <t>강대수</t>
  </si>
  <si>
    <t>준회원</t>
  </si>
  <si>
    <t>스쿼시</t>
  </si>
  <si>
    <t>추인혜</t>
  </si>
  <si>
    <t>비회원</t>
  </si>
  <si>
    <t>지석영</t>
  </si>
  <si>
    <t>이상호</t>
  </si>
  <si>
    <t>표인종</t>
  </si>
  <si>
    <t>장은지</t>
  </si>
  <si>
    <t>곽인정</t>
  </si>
  <si>
    <t>합계</t>
  </si>
  <si>
    <t>합계</t>
    <phoneticPr fontId="1" type="noConversion"/>
  </si>
  <si>
    <t>1학기 성적 평가</t>
    <phoneticPr fontId="1" type="noConversion"/>
  </si>
  <si>
    <t>2학기 성적 평가</t>
    <phoneticPr fontId="1" type="noConversion"/>
  </si>
  <si>
    <t>성명</t>
  </si>
  <si>
    <t>필기</t>
  </si>
  <si>
    <t>실기</t>
  </si>
  <si>
    <t>봉사</t>
  </si>
  <si>
    <t>평균</t>
  </si>
  <si>
    <t>순위</t>
  </si>
  <si>
    <t>김정진</t>
  </si>
  <si>
    <t>허지혜</t>
  </si>
  <si>
    <t>한구연</t>
  </si>
  <si>
    <t>사두리</t>
  </si>
  <si>
    <t>송유진</t>
  </si>
  <si>
    <t>도지원</t>
  </si>
  <si>
    <t>원형진</t>
  </si>
  <si>
    <t>추나혜</t>
  </si>
  <si>
    <t>구진혜</t>
  </si>
  <si>
    <t>전체 평가</t>
    <phoneticPr fontId="1" type="noConversion"/>
  </si>
  <si>
    <t>필기</t>
    <phoneticPr fontId="1" type="noConversion"/>
  </si>
  <si>
    <t>실기</t>
    <phoneticPr fontId="1" type="noConversion"/>
  </si>
  <si>
    <t>3월 주문내역</t>
    <phoneticPr fontId="1" type="noConversion"/>
  </si>
  <si>
    <t>단위명</t>
  </si>
  <si>
    <t>표시단위</t>
  </si>
  <si>
    <t>단가($)</t>
  </si>
  <si>
    <t>주문액($)</t>
  </si>
  <si>
    <t>주문액(\)</t>
  </si>
  <si>
    <t>우유</t>
  </si>
  <si>
    <t>갤런</t>
  </si>
  <si>
    <t>gal</t>
  </si>
  <si>
    <t>항료</t>
  </si>
  <si>
    <t>온스</t>
  </si>
  <si>
    <t>oz</t>
  </si>
  <si>
    <t>휘발유</t>
  </si>
  <si>
    <t>소다</t>
  </si>
  <si>
    <t>쿼트</t>
  </si>
  <si>
    <t>quart</t>
  </si>
  <si>
    <t>브레이크오일</t>
  </si>
  <si>
    <t>파인트</t>
  </si>
  <si>
    <t>pint</t>
  </si>
  <si>
    <t>맥주</t>
  </si>
  <si>
    <t>케그</t>
  </si>
  <si>
    <t>keg</t>
  </si>
  <si>
    <t>평균</t>
    <phoneticPr fontId="1" type="noConversion"/>
  </si>
  <si>
    <t>자원별 목재수급 현황</t>
    <phoneticPr fontId="1" type="noConversion"/>
  </si>
  <si>
    <t>연도별 자급률</t>
    <phoneticPr fontId="1" type="noConversion"/>
  </si>
  <si>
    <t>연도</t>
  </si>
  <si>
    <t>내재</t>
  </si>
  <si>
    <t>외재</t>
  </si>
  <si>
    <t>폐재</t>
  </si>
  <si>
    <t>자급률</t>
  </si>
  <si>
    <t>주식 투자 현황</t>
    <phoneticPr fontId="1" type="noConversion"/>
  </si>
  <si>
    <t>종목,주식량,매수가,매도가,매수총액,매도총액</t>
  </si>
  <si>
    <t>동문화재,150,3700,9100,555000,1365000</t>
  </si>
  <si>
    <t>튼튼산업,500,3600,5100,1800000,2550000</t>
  </si>
  <si>
    <t>제이은행,145,6200,9100,899000,1319500</t>
  </si>
  <si>
    <t>남영유업,65,3100,3200,201500,208000</t>
  </si>
  <si>
    <t>유성전자,90,6400,4800,576000,432000</t>
  </si>
  <si>
    <t>대청증권,200,7100,5900,1420000,1180000</t>
  </si>
  <si>
    <t>진영산업,325,8200,9400,2665000,3055000</t>
  </si>
  <si>
    <t>2019년</t>
    <phoneticPr fontId="1" type="noConversion"/>
  </si>
  <si>
    <t>2020년</t>
    <phoneticPr fontId="1" type="noConversion"/>
  </si>
  <si>
    <t>2021년</t>
    <phoneticPr fontId="1" type="noConversion"/>
  </si>
  <si>
    <t>2022년</t>
    <phoneticPr fontId="1" type="noConversion"/>
  </si>
  <si>
    <t>2023년</t>
    <phoneticPr fontId="1" type="noConversion"/>
  </si>
  <si>
    <t>[표1]</t>
    <phoneticPr fontId="1" type="noConversion"/>
  </si>
  <si>
    <t>예약 현황</t>
    <phoneticPr fontId="1" type="noConversion"/>
  </si>
  <si>
    <t>예약자</t>
    <phoneticPr fontId="1" type="noConversion"/>
  </si>
  <si>
    <t>예약일자</t>
    <phoneticPr fontId="1" type="noConversion"/>
  </si>
  <si>
    <t>예약인원</t>
    <phoneticPr fontId="1" type="noConversion"/>
  </si>
  <si>
    <t>할인여부</t>
    <phoneticPr fontId="1" type="noConversion"/>
  </si>
  <si>
    <t>강수지</t>
    <phoneticPr fontId="1" type="noConversion"/>
  </si>
  <si>
    <t>심동준</t>
    <phoneticPr fontId="1" type="noConversion"/>
  </si>
  <si>
    <t>김성신</t>
    <phoneticPr fontId="1" type="noConversion"/>
  </si>
  <si>
    <t>노경호</t>
    <phoneticPr fontId="1" type="noConversion"/>
  </si>
  <si>
    <t>김홍민</t>
    <phoneticPr fontId="1" type="noConversion"/>
  </si>
  <si>
    <t>전계권</t>
    <phoneticPr fontId="1" type="noConversion"/>
  </si>
  <si>
    <t>이진주</t>
    <phoneticPr fontId="1" type="noConversion"/>
  </si>
  <si>
    <t>한효진</t>
    <phoneticPr fontId="1" type="noConversion"/>
  </si>
  <si>
    <t>변성수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</si>
</sst>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#,##0_);\(#,##0\)"/>
    <numFmt numFmtId="178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0" xfId="1" applyFont="1">
      <alignment vertical="center"/>
    </xf>
    <xf numFmtId="176" fontId="0" fillId="0" borderId="0" xfId="0" applyNumberFormat="1">
      <alignment vertical="center"/>
    </xf>
    <xf numFmtId="41" fontId="0" fillId="0" borderId="1" xfId="1" applyFont="1" applyBorder="1">
      <alignment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차트작업!$F$3</c:f>
              <c:strCache>
                <c:ptCount val="1"/>
                <c:pt idx="0">
                  <c:v>자급률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차트작업!$F$4:$F$8</c:f>
              <c:numCache>
                <c:formatCode>0.00%</c:formatCode>
                <c:ptCount val="5"/>
                <c:pt idx="0">
                  <c:v>0.12820000000000001</c:v>
                </c:pt>
                <c:pt idx="1">
                  <c:v>0.14879999999999999</c:v>
                </c:pt>
                <c:pt idx="2">
                  <c:v>0.12839999999999999</c:v>
                </c:pt>
                <c:pt idx="3">
                  <c:v>0.32669999999999999</c:v>
                </c:pt>
                <c:pt idx="4">
                  <c:v>0.34370000000000001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E-45DB-AD93-9B379B040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0021647"/>
        <c:axId val="700021167"/>
      </c:barChart>
      <c:catAx>
        <c:axId val="70002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0021167"/>
        <c:crosses val="autoZero"/>
        <c:auto val="1"/>
        <c:lblAlgn val="ctr"/>
        <c:lblOffset val="100"/>
        <c:noMultiLvlLbl val="0"/>
      </c:catAx>
      <c:valAx>
        <c:axId val="70002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002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1338F7-2BD8-47FB-3119-799BFF3DC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10"/>
  <sheetViews>
    <sheetView tabSelected="1" workbookViewId="0"/>
  </sheetViews>
  <sheetFormatPr defaultRowHeight="17" x14ac:dyDescent="0.45"/>
  <cols>
    <col min="1" max="1" width="9.25" bestFit="1" customWidth="1"/>
  </cols>
  <sheetData>
    <row r="1" spans="1:5" x14ac:dyDescent="0.45">
      <c r="A1" t="s">
        <v>0</v>
      </c>
    </row>
    <row r="3" spans="1:5" x14ac:dyDescent="0.45">
      <c r="A3" s="2"/>
      <c r="B3" s="2"/>
      <c r="C3" s="2"/>
      <c r="D3" s="2"/>
      <c r="E3" s="2"/>
    </row>
    <row r="4" spans="1:5" x14ac:dyDescent="0.45">
      <c r="A4" s="2"/>
      <c r="B4" s="2"/>
      <c r="C4" s="2"/>
      <c r="D4" s="2"/>
      <c r="E4" s="2"/>
    </row>
    <row r="5" spans="1:5" x14ac:dyDescent="0.45">
      <c r="A5" s="2"/>
      <c r="B5" s="2"/>
      <c r="C5" s="2"/>
      <c r="D5" s="2"/>
      <c r="E5" s="2"/>
    </row>
    <row r="6" spans="1:5" x14ac:dyDescent="0.45">
      <c r="A6" s="2"/>
      <c r="B6" s="2"/>
      <c r="C6" s="2"/>
      <c r="D6" s="2"/>
      <c r="E6" s="2"/>
    </row>
    <row r="7" spans="1:5" x14ac:dyDescent="0.45">
      <c r="A7" s="2"/>
      <c r="B7" s="2"/>
      <c r="C7" s="2"/>
      <c r="D7" s="2"/>
      <c r="E7" s="2"/>
    </row>
    <row r="8" spans="1:5" x14ac:dyDescent="0.45">
      <c r="A8" s="2"/>
      <c r="B8" s="2"/>
      <c r="C8" s="2"/>
      <c r="D8" s="2"/>
      <c r="E8" s="2"/>
    </row>
    <row r="9" spans="1:5" x14ac:dyDescent="0.45">
      <c r="A9" s="2"/>
      <c r="B9" s="2"/>
      <c r="C9" s="2"/>
      <c r="D9" s="2"/>
      <c r="E9" s="2"/>
    </row>
    <row r="10" spans="1:5" x14ac:dyDescent="0.45">
      <c r="A10" s="2"/>
      <c r="B10" s="2"/>
      <c r="C10" s="2"/>
      <c r="D10" s="2"/>
      <c r="E10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2:G14"/>
  <sheetViews>
    <sheetView workbookViewId="0"/>
  </sheetViews>
  <sheetFormatPr defaultRowHeight="17" x14ac:dyDescent="0.45"/>
  <cols>
    <col min="7" max="7" width="10.75" bestFit="1" customWidth="1"/>
  </cols>
  <sheetData>
    <row r="2" spans="2:7" x14ac:dyDescent="0.45">
      <c r="D2" s="4" t="s">
        <v>71</v>
      </c>
    </row>
    <row r="3" spans="2:7" x14ac:dyDescent="0.45">
      <c r="G3" s="1">
        <v>45488</v>
      </c>
    </row>
    <row r="5" spans="2:7" x14ac:dyDescent="0.45">
      <c r="B5" s="2" t="s">
        <v>72</v>
      </c>
      <c r="C5" s="2" t="s">
        <v>73</v>
      </c>
      <c r="D5" s="2" t="s">
        <v>74</v>
      </c>
      <c r="E5" s="2" t="s">
        <v>75</v>
      </c>
      <c r="F5" s="2" t="s">
        <v>76</v>
      </c>
      <c r="G5" s="2" t="s">
        <v>77</v>
      </c>
    </row>
    <row r="6" spans="2:7" x14ac:dyDescent="0.45">
      <c r="B6" t="s">
        <v>78</v>
      </c>
      <c r="C6" s="2" t="s">
        <v>79</v>
      </c>
      <c r="D6" s="9">
        <v>2450</v>
      </c>
      <c r="E6" s="9">
        <v>1200</v>
      </c>
      <c r="F6">
        <v>0.489795918</v>
      </c>
      <c r="G6" s="10">
        <v>-1250</v>
      </c>
    </row>
    <row r="7" spans="2:7" x14ac:dyDescent="0.45">
      <c r="C7" s="2" t="s">
        <v>80</v>
      </c>
      <c r="D7" s="9">
        <v>1500</v>
      </c>
      <c r="E7" s="9">
        <v>2456</v>
      </c>
      <c r="F7">
        <v>1.6373333329999999</v>
      </c>
      <c r="G7" s="10">
        <v>956</v>
      </c>
    </row>
    <row r="8" spans="2:7" x14ac:dyDescent="0.45">
      <c r="C8" s="2" t="s">
        <v>81</v>
      </c>
      <c r="D8" s="9">
        <v>1200</v>
      </c>
      <c r="E8" s="9">
        <v>1500</v>
      </c>
      <c r="F8">
        <v>1.25</v>
      </c>
      <c r="G8" s="10">
        <v>300</v>
      </c>
    </row>
    <row r="9" spans="2:7" x14ac:dyDescent="0.45">
      <c r="B9" t="s">
        <v>82</v>
      </c>
      <c r="C9" s="2" t="s">
        <v>83</v>
      </c>
      <c r="D9" s="9">
        <v>2360</v>
      </c>
      <c r="E9" s="9">
        <v>1230</v>
      </c>
      <c r="F9">
        <v>0.521186441</v>
      </c>
      <c r="G9" s="10">
        <v>-1130</v>
      </c>
    </row>
    <row r="10" spans="2:7" x14ac:dyDescent="0.45">
      <c r="C10" s="2" t="s">
        <v>84</v>
      </c>
      <c r="D10" s="9">
        <v>2000</v>
      </c>
      <c r="E10" s="9">
        <v>3450</v>
      </c>
      <c r="F10">
        <v>1.7250000000000001</v>
      </c>
      <c r="G10" s="10">
        <v>1450</v>
      </c>
    </row>
    <row r="11" spans="2:7" x14ac:dyDescent="0.45">
      <c r="C11" s="2" t="s">
        <v>85</v>
      </c>
      <c r="D11" s="9">
        <v>1200</v>
      </c>
      <c r="E11" s="9">
        <v>1230</v>
      </c>
      <c r="F11">
        <v>1.0249999999999999</v>
      </c>
      <c r="G11" s="10">
        <v>30</v>
      </c>
    </row>
    <row r="12" spans="2:7" x14ac:dyDescent="0.45">
      <c r="B12" t="s">
        <v>86</v>
      </c>
      <c r="C12" s="2" t="s">
        <v>87</v>
      </c>
      <c r="D12" s="9">
        <v>1000</v>
      </c>
      <c r="E12" s="9">
        <v>1150</v>
      </c>
      <c r="F12">
        <v>1.1499999999999999</v>
      </c>
      <c r="G12" s="10">
        <v>150</v>
      </c>
    </row>
    <row r="13" spans="2:7" x14ac:dyDescent="0.45">
      <c r="C13" s="2" t="s">
        <v>88</v>
      </c>
      <c r="D13" s="9">
        <v>4500</v>
      </c>
      <c r="E13" s="9">
        <v>3210</v>
      </c>
      <c r="F13">
        <v>0.71333333300000001</v>
      </c>
      <c r="G13" s="10">
        <v>-1290</v>
      </c>
    </row>
    <row r="14" spans="2:7" x14ac:dyDescent="0.45">
      <c r="C14" s="2" t="s">
        <v>89</v>
      </c>
      <c r="D14" s="9">
        <v>2000</v>
      </c>
      <c r="E14" s="9">
        <v>3350</v>
      </c>
      <c r="F14">
        <v>1.675</v>
      </c>
      <c r="G14" s="10">
        <v>1350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2:B11"/>
  <sheetViews>
    <sheetView workbookViewId="0"/>
  </sheetViews>
  <sheetFormatPr defaultRowHeight="17" x14ac:dyDescent="0.45"/>
  <cols>
    <col min="1" max="1" width="3.58203125" customWidth="1"/>
  </cols>
  <sheetData>
    <row r="2" spans="2:2" x14ac:dyDescent="0.45">
      <c r="B2" t="s">
        <v>166</v>
      </c>
    </row>
    <row r="4" spans="2:2" x14ac:dyDescent="0.45">
      <c r="B4" t="s">
        <v>167</v>
      </c>
    </row>
    <row r="5" spans="2:2" x14ac:dyDescent="0.45">
      <c r="B5" t="s">
        <v>168</v>
      </c>
    </row>
    <row r="6" spans="2:2" x14ac:dyDescent="0.45">
      <c r="B6" t="s">
        <v>169</v>
      </c>
    </row>
    <row r="7" spans="2:2" x14ac:dyDescent="0.45">
      <c r="B7" t="s">
        <v>170</v>
      </c>
    </row>
    <row r="8" spans="2:2" x14ac:dyDescent="0.45">
      <c r="B8" t="s">
        <v>171</v>
      </c>
    </row>
    <row r="9" spans="2:2" x14ac:dyDescent="0.45">
      <c r="B9" t="s">
        <v>172</v>
      </c>
    </row>
    <row r="10" spans="2:2" x14ac:dyDescent="0.45">
      <c r="B10" t="s">
        <v>173</v>
      </c>
    </row>
    <row r="11" spans="2:2" x14ac:dyDescent="0.45">
      <c r="B11" t="s">
        <v>174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M35"/>
  <sheetViews>
    <sheetView workbookViewId="0"/>
  </sheetViews>
  <sheetFormatPr defaultRowHeight="17" x14ac:dyDescent="0.45"/>
  <cols>
    <col min="2" max="2" width="10.75" bestFit="1" customWidth="1"/>
    <col min="12" max="13" width="9.08203125" customWidth="1"/>
  </cols>
  <sheetData>
    <row r="1" spans="1:13" x14ac:dyDescent="0.45">
      <c r="A1" s="3" t="s">
        <v>180</v>
      </c>
      <c r="B1" s="4" t="s">
        <v>181</v>
      </c>
      <c r="G1" s="3" t="s">
        <v>3</v>
      </c>
      <c r="H1" s="4" t="s">
        <v>4</v>
      </c>
    </row>
    <row r="2" spans="1:13" x14ac:dyDescent="0.45">
      <c r="A2" s="5" t="s">
        <v>182</v>
      </c>
      <c r="B2" s="5" t="s">
        <v>183</v>
      </c>
      <c r="C2" s="5" t="s">
        <v>184</v>
      </c>
      <c r="D2" s="7" t="s">
        <v>185</v>
      </c>
      <c r="G2" s="5" t="s">
        <v>5</v>
      </c>
      <c r="H2" s="5" t="s">
        <v>6</v>
      </c>
      <c r="I2" s="5" t="s">
        <v>7</v>
      </c>
      <c r="J2" s="5" t="s">
        <v>8</v>
      </c>
    </row>
    <row r="3" spans="1:13" x14ac:dyDescent="0.45">
      <c r="A3" s="5" t="s">
        <v>186</v>
      </c>
      <c r="B3" s="6">
        <v>45478</v>
      </c>
      <c r="C3" s="5">
        <v>15</v>
      </c>
      <c r="D3" s="5"/>
      <c r="G3" s="5" t="s">
        <v>9</v>
      </c>
      <c r="H3" s="8">
        <v>1240</v>
      </c>
      <c r="I3" s="5">
        <v>10</v>
      </c>
      <c r="J3" s="5" t="s">
        <v>10</v>
      </c>
      <c r="L3" s="17" t="s">
        <v>22</v>
      </c>
      <c r="M3" s="17"/>
    </row>
    <row r="4" spans="1:13" x14ac:dyDescent="0.45">
      <c r="A4" s="5" t="s">
        <v>187</v>
      </c>
      <c r="B4" s="6">
        <v>45479</v>
      </c>
      <c r="C4" s="5">
        <v>18</v>
      </c>
      <c r="D4" s="5"/>
      <c r="G4" s="5" t="s">
        <v>11</v>
      </c>
      <c r="H4" s="8">
        <v>2450</v>
      </c>
      <c r="I4" s="5">
        <v>20</v>
      </c>
      <c r="J4" s="5" t="s">
        <v>12</v>
      </c>
      <c r="L4" s="5"/>
      <c r="M4" s="5"/>
    </row>
    <row r="5" spans="1:13" x14ac:dyDescent="0.45">
      <c r="A5" s="5" t="s">
        <v>188</v>
      </c>
      <c r="B5" s="6">
        <v>45480</v>
      </c>
      <c r="C5" s="5">
        <v>20</v>
      </c>
      <c r="D5" s="5"/>
      <c r="G5" s="5" t="s">
        <v>13</v>
      </c>
      <c r="H5" s="8">
        <v>1400</v>
      </c>
      <c r="I5" s="5">
        <v>35</v>
      </c>
      <c r="J5" s="5" t="s">
        <v>14</v>
      </c>
      <c r="L5" s="5"/>
      <c r="M5" s="5"/>
    </row>
    <row r="6" spans="1:13" x14ac:dyDescent="0.45">
      <c r="A6" s="5" t="s">
        <v>189</v>
      </c>
      <c r="B6" s="6">
        <v>45485</v>
      </c>
      <c r="C6" s="5">
        <v>21</v>
      </c>
      <c r="D6" s="5"/>
      <c r="G6" s="5" t="s">
        <v>15</v>
      </c>
      <c r="H6" s="8">
        <v>2300</v>
      </c>
      <c r="I6" s="5">
        <v>5</v>
      </c>
      <c r="J6" s="5" t="s">
        <v>16</v>
      </c>
    </row>
    <row r="7" spans="1:13" x14ac:dyDescent="0.45">
      <c r="A7" s="5" t="s">
        <v>190</v>
      </c>
      <c r="B7" s="6">
        <v>45486</v>
      </c>
      <c r="C7" s="5">
        <v>12</v>
      </c>
      <c r="D7" s="5"/>
      <c r="G7" s="5" t="s">
        <v>17</v>
      </c>
      <c r="H7" s="8">
        <v>1500</v>
      </c>
      <c r="I7" s="5">
        <v>11</v>
      </c>
      <c r="J7" s="5" t="s">
        <v>16</v>
      </c>
      <c r="L7" s="20" t="s">
        <v>23</v>
      </c>
      <c r="M7" s="21"/>
    </row>
    <row r="8" spans="1:13" x14ac:dyDescent="0.45">
      <c r="A8" s="5" t="s">
        <v>191</v>
      </c>
      <c r="B8" s="6">
        <v>45487</v>
      </c>
      <c r="C8" s="5">
        <v>25</v>
      </c>
      <c r="D8" s="5"/>
      <c r="G8" s="5" t="s">
        <v>18</v>
      </c>
      <c r="H8" s="8">
        <v>1670</v>
      </c>
      <c r="I8" s="5">
        <v>30</v>
      </c>
      <c r="J8" s="5" t="s">
        <v>10</v>
      </c>
      <c r="L8" s="18"/>
      <c r="M8" s="19"/>
    </row>
    <row r="9" spans="1:13" x14ac:dyDescent="0.45">
      <c r="A9" s="5" t="s">
        <v>192</v>
      </c>
      <c r="B9" s="6">
        <v>45492</v>
      </c>
      <c r="C9" s="5">
        <v>24</v>
      </c>
      <c r="D9" s="5"/>
      <c r="G9" s="5" t="s">
        <v>19</v>
      </c>
      <c r="H9" s="8">
        <v>1580</v>
      </c>
      <c r="I9" s="5">
        <v>45</v>
      </c>
      <c r="J9" s="5" t="s">
        <v>12</v>
      </c>
    </row>
    <row r="10" spans="1:13" x14ac:dyDescent="0.45">
      <c r="A10" s="5" t="s">
        <v>193</v>
      </c>
      <c r="B10" s="6">
        <v>45493</v>
      </c>
      <c r="C10" s="5">
        <v>16</v>
      </c>
      <c r="D10" s="5"/>
      <c r="G10" s="5" t="s">
        <v>20</v>
      </c>
      <c r="H10" s="8">
        <v>3560</v>
      </c>
      <c r="I10" s="5">
        <v>20</v>
      </c>
      <c r="J10" s="5" t="s">
        <v>14</v>
      </c>
    </row>
    <row r="11" spans="1:13" x14ac:dyDescent="0.45">
      <c r="A11" s="5" t="s">
        <v>194</v>
      </c>
      <c r="B11" s="6">
        <v>45494</v>
      </c>
      <c r="C11" s="5">
        <v>17</v>
      </c>
      <c r="D11" s="5"/>
      <c r="G11" s="5" t="s">
        <v>21</v>
      </c>
      <c r="H11" s="8">
        <v>2570</v>
      </c>
      <c r="I11" s="5">
        <v>32</v>
      </c>
      <c r="J11" s="5" t="s">
        <v>12</v>
      </c>
    </row>
    <row r="13" spans="1:13" x14ac:dyDescent="0.45">
      <c r="A13" s="3" t="s">
        <v>24</v>
      </c>
      <c r="B13" s="4" t="s">
        <v>25</v>
      </c>
      <c r="G13" s="3" t="s">
        <v>40</v>
      </c>
      <c r="H13" s="4" t="s">
        <v>41</v>
      </c>
    </row>
    <row r="14" spans="1:13" x14ac:dyDescent="0.45">
      <c r="A14" s="5" t="s">
        <v>26</v>
      </c>
      <c r="B14" s="5" t="s">
        <v>27</v>
      </c>
      <c r="C14" s="5" t="s">
        <v>28</v>
      </c>
      <c r="D14" s="5" t="s">
        <v>29</v>
      </c>
      <c r="E14" s="5" t="s">
        <v>30</v>
      </c>
      <c r="G14" s="5" t="s">
        <v>42</v>
      </c>
      <c r="H14" s="5" t="s">
        <v>43</v>
      </c>
      <c r="I14" s="5" t="s">
        <v>44</v>
      </c>
      <c r="J14" s="5" t="s">
        <v>45</v>
      </c>
      <c r="K14" s="5" t="s">
        <v>46</v>
      </c>
      <c r="L14" s="5" t="s">
        <v>47</v>
      </c>
      <c r="M14" s="7" t="s">
        <v>48</v>
      </c>
    </row>
    <row r="15" spans="1:13" x14ac:dyDescent="0.45">
      <c r="A15" s="5" t="s">
        <v>31</v>
      </c>
      <c r="B15" s="8">
        <v>6500</v>
      </c>
      <c r="C15" s="8">
        <v>8000</v>
      </c>
      <c r="D15" s="8">
        <v>7500</v>
      </c>
      <c r="E15" s="8">
        <v>22000</v>
      </c>
      <c r="G15" s="5" t="s">
        <v>49</v>
      </c>
      <c r="H15" s="5" t="s">
        <v>50</v>
      </c>
      <c r="I15" s="5" t="s">
        <v>50</v>
      </c>
      <c r="J15" s="5" t="s">
        <v>50</v>
      </c>
      <c r="K15" s="5" t="s">
        <v>50</v>
      </c>
      <c r="L15" s="5" t="s">
        <v>50</v>
      </c>
      <c r="M15" s="5"/>
    </row>
    <row r="16" spans="1:13" x14ac:dyDescent="0.45">
      <c r="A16" s="5" t="s">
        <v>32</v>
      </c>
      <c r="B16" s="8">
        <v>8000</v>
      </c>
      <c r="C16" s="8">
        <v>7500</v>
      </c>
      <c r="D16" s="8">
        <v>8500</v>
      </c>
      <c r="E16" s="8">
        <v>24000</v>
      </c>
      <c r="G16" s="5" t="s">
        <v>51</v>
      </c>
      <c r="H16" s="5"/>
      <c r="I16" s="5" t="s">
        <v>50</v>
      </c>
      <c r="J16" s="5" t="s">
        <v>50</v>
      </c>
      <c r="K16" s="5" t="s">
        <v>50</v>
      </c>
      <c r="L16" s="5"/>
      <c r="M16" s="5"/>
    </row>
    <row r="17" spans="1:13" x14ac:dyDescent="0.45">
      <c r="A17" s="5" t="s">
        <v>33</v>
      </c>
      <c r="B17" s="8">
        <v>9500</v>
      </c>
      <c r="C17" s="8">
        <v>9000</v>
      </c>
      <c r="D17" s="8">
        <v>9500</v>
      </c>
      <c r="E17" s="8">
        <v>28000</v>
      </c>
      <c r="G17" s="5" t="s">
        <v>52</v>
      </c>
      <c r="H17" s="5"/>
      <c r="I17" s="5" t="s">
        <v>50</v>
      </c>
      <c r="J17" s="5"/>
      <c r="K17" s="5" t="s">
        <v>50</v>
      </c>
      <c r="L17" s="5" t="s">
        <v>50</v>
      </c>
      <c r="M17" s="5"/>
    </row>
    <row r="18" spans="1:13" x14ac:dyDescent="0.45">
      <c r="A18" s="5" t="s">
        <v>34</v>
      </c>
      <c r="B18" s="8">
        <v>5500</v>
      </c>
      <c r="C18" s="8">
        <v>6000</v>
      </c>
      <c r="D18" s="8">
        <v>6000</v>
      </c>
      <c r="E18" s="8">
        <v>17500</v>
      </c>
      <c r="G18" s="5" t="s">
        <v>53</v>
      </c>
      <c r="H18" s="5" t="s">
        <v>50</v>
      </c>
      <c r="I18" s="5" t="s">
        <v>50</v>
      </c>
      <c r="J18" s="5" t="s">
        <v>50</v>
      </c>
      <c r="K18" s="5" t="s">
        <v>50</v>
      </c>
      <c r="L18" s="5" t="s">
        <v>50</v>
      </c>
      <c r="M18" s="5"/>
    </row>
    <row r="19" spans="1:13" x14ac:dyDescent="0.45">
      <c r="A19" s="5" t="s">
        <v>35</v>
      </c>
      <c r="B19" s="8">
        <v>5000</v>
      </c>
      <c r="C19" s="8">
        <v>4500</v>
      </c>
      <c r="D19" s="8">
        <v>5500</v>
      </c>
      <c r="E19" s="8">
        <v>15000</v>
      </c>
      <c r="G19" s="5" t="s">
        <v>54</v>
      </c>
      <c r="H19" s="5" t="s">
        <v>50</v>
      </c>
      <c r="I19" s="5"/>
      <c r="J19" s="5" t="s">
        <v>50</v>
      </c>
      <c r="K19" s="5" t="s">
        <v>50</v>
      </c>
      <c r="L19" s="5" t="s">
        <v>50</v>
      </c>
      <c r="M19" s="5"/>
    </row>
    <row r="20" spans="1:13" x14ac:dyDescent="0.45">
      <c r="A20" s="5" t="s">
        <v>36</v>
      </c>
      <c r="B20" s="8">
        <v>6000</v>
      </c>
      <c r="C20" s="8">
        <v>7000</v>
      </c>
      <c r="D20" s="8">
        <v>6000</v>
      </c>
      <c r="E20" s="8">
        <v>19000</v>
      </c>
    </row>
    <row r="21" spans="1:13" x14ac:dyDescent="0.45">
      <c r="A21" s="5" t="s">
        <v>37</v>
      </c>
      <c r="B21" s="8">
        <v>7000</v>
      </c>
      <c r="C21" s="8">
        <v>7000</v>
      </c>
      <c r="D21" s="8">
        <v>7500</v>
      </c>
      <c r="E21" s="8">
        <v>21500</v>
      </c>
    </row>
    <row r="22" spans="1:13" x14ac:dyDescent="0.45">
      <c r="A22" s="5" t="s">
        <v>38</v>
      </c>
      <c r="B22" s="8">
        <v>7500</v>
      </c>
      <c r="C22" s="8">
        <v>8000</v>
      </c>
      <c r="D22" s="8">
        <v>7000</v>
      </c>
      <c r="E22" s="8">
        <v>22500</v>
      </c>
    </row>
    <row r="23" spans="1:13" x14ac:dyDescent="0.45">
      <c r="A23" s="20" t="s">
        <v>39</v>
      </c>
      <c r="B23" s="22"/>
      <c r="C23" s="22"/>
      <c r="D23" s="21"/>
      <c r="E23" s="5"/>
    </row>
    <row r="25" spans="1:13" x14ac:dyDescent="0.45">
      <c r="A25" s="3" t="s">
        <v>55</v>
      </c>
      <c r="B25" s="4" t="s">
        <v>56</v>
      </c>
    </row>
    <row r="26" spans="1:13" x14ac:dyDescent="0.45">
      <c r="A26" s="5" t="s">
        <v>57</v>
      </c>
      <c r="B26" s="5" t="s">
        <v>42</v>
      </c>
      <c r="C26" s="5" t="s">
        <v>58</v>
      </c>
      <c r="D26" s="5" t="s">
        <v>27</v>
      </c>
      <c r="E26" s="5" t="s">
        <v>28</v>
      </c>
      <c r="F26" s="5" t="s">
        <v>29</v>
      </c>
    </row>
    <row r="27" spans="1:13" x14ac:dyDescent="0.45">
      <c r="A27" s="5">
        <v>3212</v>
      </c>
      <c r="B27" s="5" t="s">
        <v>59</v>
      </c>
      <c r="C27" s="5" t="s">
        <v>60</v>
      </c>
      <c r="D27" s="8">
        <v>35200</v>
      </c>
      <c r="E27" s="8">
        <v>35000</v>
      </c>
      <c r="F27" s="8">
        <v>36000</v>
      </c>
    </row>
    <row r="28" spans="1:13" x14ac:dyDescent="0.45">
      <c r="A28" s="5">
        <v>3214</v>
      </c>
      <c r="B28" s="5" t="s">
        <v>61</v>
      </c>
      <c r="C28" s="5" t="s">
        <v>60</v>
      </c>
      <c r="D28" s="8">
        <v>12500</v>
      </c>
      <c r="E28" s="8">
        <v>21000</v>
      </c>
      <c r="F28" s="8">
        <v>20000</v>
      </c>
    </row>
    <row r="29" spans="1:13" x14ac:dyDescent="0.45">
      <c r="A29" s="5">
        <v>3114</v>
      </c>
      <c r="B29" s="5" t="s">
        <v>62</v>
      </c>
      <c r="C29" s="5" t="s">
        <v>63</v>
      </c>
      <c r="D29" s="8">
        <v>62500</v>
      </c>
      <c r="E29" s="8">
        <v>65000</v>
      </c>
      <c r="F29" s="8">
        <v>64000</v>
      </c>
    </row>
    <row r="30" spans="1:13" x14ac:dyDescent="0.45">
      <c r="A30" s="5">
        <v>3412</v>
      </c>
      <c r="B30" s="5" t="s">
        <v>64</v>
      </c>
      <c r="C30" s="5" t="s">
        <v>65</v>
      </c>
      <c r="D30" s="8">
        <v>62533</v>
      </c>
      <c r="E30" s="8">
        <v>61890</v>
      </c>
      <c r="F30" s="8">
        <v>63000</v>
      </c>
    </row>
    <row r="31" spans="1:13" x14ac:dyDescent="0.45">
      <c r="A31" s="5">
        <v>3312</v>
      </c>
      <c r="B31" s="5" t="s">
        <v>66</v>
      </c>
      <c r="C31" s="5" t="s">
        <v>67</v>
      </c>
      <c r="D31" s="8">
        <v>32560</v>
      </c>
      <c r="E31" s="8">
        <v>33000</v>
      </c>
      <c r="F31" s="8">
        <v>32000</v>
      </c>
    </row>
    <row r="32" spans="1:13" x14ac:dyDescent="0.45">
      <c r="A32" s="5">
        <v>3213</v>
      </c>
      <c r="B32" s="5" t="s">
        <v>68</v>
      </c>
      <c r="C32" s="5" t="s">
        <v>60</v>
      </c>
      <c r="D32" s="8">
        <v>64250</v>
      </c>
      <c r="E32" s="8">
        <v>56000</v>
      </c>
      <c r="F32" s="8">
        <v>66000</v>
      </c>
    </row>
    <row r="33" spans="1:6" x14ac:dyDescent="0.45">
      <c r="A33" s="5">
        <v>3413</v>
      </c>
      <c r="B33" s="5" t="s">
        <v>69</v>
      </c>
      <c r="C33" s="5" t="s">
        <v>65</v>
      </c>
      <c r="D33" s="8">
        <v>45850</v>
      </c>
      <c r="E33" s="8">
        <v>43650</v>
      </c>
      <c r="F33" s="8">
        <v>48000</v>
      </c>
    </row>
    <row r="35" spans="1:6" x14ac:dyDescent="0.45">
      <c r="E35" s="7" t="s">
        <v>70</v>
      </c>
      <c r="F35" s="8"/>
    </row>
  </sheetData>
  <mergeCells count="4">
    <mergeCell ref="L3:M3"/>
    <mergeCell ref="L8:M8"/>
    <mergeCell ref="L7:M7"/>
    <mergeCell ref="A23:D2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H13"/>
  <sheetViews>
    <sheetView workbookViewId="0">
      <selection sqref="A1:H1"/>
    </sheetView>
  </sheetViews>
  <sheetFormatPr defaultRowHeight="17" x14ac:dyDescent="0.45"/>
  <cols>
    <col min="6" max="7" width="9.08203125" bestFit="1" customWidth="1"/>
    <col min="8" max="8" width="10.58203125" bestFit="1" customWidth="1"/>
  </cols>
  <sheetData>
    <row r="1" spans="1:8" ht="21" x14ac:dyDescent="0.45">
      <c r="A1" s="23" t="s">
        <v>90</v>
      </c>
      <c r="B1" s="23"/>
      <c r="C1" s="23"/>
      <c r="D1" s="23"/>
      <c r="E1" s="23"/>
      <c r="F1" s="23"/>
      <c r="G1" s="23"/>
      <c r="H1" s="23"/>
    </row>
    <row r="3" spans="1:8" x14ac:dyDescent="0.45">
      <c r="A3" s="5" t="s">
        <v>91</v>
      </c>
      <c r="B3" s="5" t="s">
        <v>92</v>
      </c>
      <c r="C3" s="5" t="s">
        <v>93</v>
      </c>
      <c r="D3" s="5" t="s">
        <v>94</v>
      </c>
      <c r="E3" s="5" t="s">
        <v>95</v>
      </c>
      <c r="F3" s="5" t="s">
        <v>96</v>
      </c>
      <c r="G3" s="5" t="s">
        <v>97</v>
      </c>
      <c r="H3" s="5" t="s">
        <v>98</v>
      </c>
    </row>
    <row r="4" spans="1:8" x14ac:dyDescent="0.45">
      <c r="A4" s="5" t="s">
        <v>99</v>
      </c>
      <c r="B4" s="5" t="s">
        <v>100</v>
      </c>
      <c r="C4" s="5" t="s">
        <v>101</v>
      </c>
      <c r="D4" s="5">
        <v>60</v>
      </c>
      <c r="E4" s="5">
        <v>7</v>
      </c>
      <c r="F4" s="8">
        <v>158400</v>
      </c>
      <c r="G4" s="8">
        <v>0</v>
      </c>
      <c r="H4" s="8">
        <v>158400</v>
      </c>
    </row>
    <row r="5" spans="1:8" x14ac:dyDescent="0.45">
      <c r="A5" s="5" t="s">
        <v>102</v>
      </c>
      <c r="B5" s="5" t="s">
        <v>100</v>
      </c>
      <c r="C5" s="5" t="s">
        <v>103</v>
      </c>
      <c r="D5" s="5">
        <v>30</v>
      </c>
      <c r="E5" s="5">
        <v>4</v>
      </c>
      <c r="F5" s="8">
        <v>79200</v>
      </c>
      <c r="G5" s="8">
        <v>20000</v>
      </c>
      <c r="H5" s="8">
        <v>99200</v>
      </c>
    </row>
    <row r="6" spans="1:8" x14ac:dyDescent="0.45">
      <c r="A6" s="5" t="s">
        <v>104</v>
      </c>
      <c r="B6" s="5" t="s">
        <v>105</v>
      </c>
      <c r="C6" s="5" t="s">
        <v>106</v>
      </c>
      <c r="D6" s="5">
        <v>14</v>
      </c>
      <c r="E6" s="5">
        <v>1</v>
      </c>
      <c r="F6" s="8">
        <v>38640</v>
      </c>
      <c r="G6" s="8">
        <v>50000</v>
      </c>
      <c r="H6" s="8">
        <v>88640</v>
      </c>
    </row>
    <row r="7" spans="1:8" x14ac:dyDescent="0.45">
      <c r="A7" s="5" t="s">
        <v>107</v>
      </c>
      <c r="B7" s="5" t="s">
        <v>108</v>
      </c>
      <c r="C7" s="5" t="s">
        <v>103</v>
      </c>
      <c r="D7" s="5">
        <v>30</v>
      </c>
      <c r="E7" s="5">
        <v>1</v>
      </c>
      <c r="F7" s="8">
        <v>86400</v>
      </c>
      <c r="G7" s="8">
        <v>0</v>
      </c>
      <c r="H7" s="8">
        <v>86400</v>
      </c>
    </row>
    <row r="8" spans="1:8" x14ac:dyDescent="0.45">
      <c r="A8" s="5" t="s">
        <v>109</v>
      </c>
      <c r="B8" s="5" t="s">
        <v>105</v>
      </c>
      <c r="C8" s="5" t="s">
        <v>101</v>
      </c>
      <c r="D8" s="5">
        <v>28</v>
      </c>
      <c r="E8" s="5">
        <v>2</v>
      </c>
      <c r="F8" s="8">
        <v>77280</v>
      </c>
      <c r="G8" s="8">
        <v>50000</v>
      </c>
      <c r="H8" s="8">
        <v>127280</v>
      </c>
    </row>
    <row r="9" spans="1:8" x14ac:dyDescent="0.45">
      <c r="A9" s="5" t="s">
        <v>110</v>
      </c>
      <c r="B9" s="5" t="s">
        <v>100</v>
      </c>
      <c r="C9" s="5" t="s">
        <v>101</v>
      </c>
      <c r="D9" s="5">
        <v>25</v>
      </c>
      <c r="E9" s="5">
        <v>3</v>
      </c>
      <c r="F9" s="8">
        <v>66000</v>
      </c>
      <c r="G9" s="8">
        <v>50000</v>
      </c>
      <c r="H9" s="8">
        <v>116000</v>
      </c>
    </row>
    <row r="10" spans="1:8" x14ac:dyDescent="0.45">
      <c r="A10" s="5" t="s">
        <v>111</v>
      </c>
      <c r="B10" s="5" t="s">
        <v>108</v>
      </c>
      <c r="C10" s="5" t="s">
        <v>106</v>
      </c>
      <c r="D10" s="5">
        <v>15</v>
      </c>
      <c r="E10" s="5">
        <v>1</v>
      </c>
      <c r="F10" s="8">
        <v>43200</v>
      </c>
      <c r="G10" s="8">
        <v>0</v>
      </c>
      <c r="H10" s="8">
        <v>43200</v>
      </c>
    </row>
    <row r="11" spans="1:8" x14ac:dyDescent="0.45">
      <c r="A11" s="5" t="s">
        <v>112</v>
      </c>
      <c r="B11" s="5" t="s">
        <v>100</v>
      </c>
      <c r="C11" s="5" t="s">
        <v>103</v>
      </c>
      <c r="D11" s="5">
        <v>23</v>
      </c>
      <c r="E11" s="5">
        <v>3</v>
      </c>
      <c r="F11" s="8">
        <v>60720</v>
      </c>
      <c r="G11" s="8">
        <v>20000</v>
      </c>
      <c r="H11" s="8">
        <v>80720</v>
      </c>
    </row>
    <row r="12" spans="1:8" x14ac:dyDescent="0.45">
      <c r="A12" s="5" t="s">
        <v>113</v>
      </c>
      <c r="B12" s="5" t="s">
        <v>108</v>
      </c>
      <c r="C12" s="5" t="s">
        <v>106</v>
      </c>
      <c r="D12" s="5">
        <v>54</v>
      </c>
      <c r="E12" s="5">
        <v>2</v>
      </c>
      <c r="F12" s="8">
        <v>155520</v>
      </c>
      <c r="G12" s="8">
        <v>50000</v>
      </c>
      <c r="H12" s="8">
        <v>205520</v>
      </c>
    </row>
    <row r="13" spans="1:8" x14ac:dyDescent="0.45">
      <c r="A13" s="18" t="s">
        <v>115</v>
      </c>
      <c r="B13" s="24"/>
      <c r="C13" s="19"/>
      <c r="D13" s="5">
        <f>SUM(D4:D12)</f>
        <v>279</v>
      </c>
      <c r="E13" s="5">
        <f t="shared" ref="E13:H13" si="0">SUM(E4:E12)</f>
        <v>24</v>
      </c>
      <c r="F13" s="11">
        <f t="shared" si="0"/>
        <v>765360</v>
      </c>
      <c r="G13" s="11">
        <f t="shared" si="0"/>
        <v>240000</v>
      </c>
      <c r="H13" s="11">
        <f t="shared" si="0"/>
        <v>1005360</v>
      </c>
    </row>
  </sheetData>
  <mergeCells count="2">
    <mergeCell ref="A1:H1"/>
    <mergeCell ref="A13:C1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M21"/>
  <sheetViews>
    <sheetView workbookViewId="0">
      <selection sqref="A1:F1"/>
    </sheetView>
  </sheetViews>
  <sheetFormatPr defaultRowHeight="17" x14ac:dyDescent="0.45"/>
  <cols>
    <col min="2" max="6" width="9" customWidth="1"/>
    <col min="7" max="7" width="5.58203125" customWidth="1"/>
    <col min="9" max="13" width="9" customWidth="1"/>
  </cols>
  <sheetData>
    <row r="1" spans="1:13" x14ac:dyDescent="0.45">
      <c r="A1" s="25" t="s">
        <v>116</v>
      </c>
      <c r="B1" s="25"/>
      <c r="C1" s="25"/>
      <c r="D1" s="25"/>
      <c r="E1" s="25"/>
      <c r="F1" s="25"/>
      <c r="H1" s="25" t="s">
        <v>117</v>
      </c>
      <c r="I1" s="25"/>
      <c r="J1" s="25"/>
      <c r="K1" s="25"/>
      <c r="L1" s="25"/>
      <c r="M1" s="25"/>
    </row>
    <row r="2" spans="1:13" x14ac:dyDescent="0.45">
      <c r="A2" s="5" t="s">
        <v>118</v>
      </c>
      <c r="B2" s="5" t="s">
        <v>119</v>
      </c>
      <c r="C2" s="5" t="s">
        <v>120</v>
      </c>
      <c r="D2" s="5" t="s">
        <v>121</v>
      </c>
      <c r="E2" s="5" t="s">
        <v>122</v>
      </c>
      <c r="F2" s="5" t="s">
        <v>123</v>
      </c>
      <c r="G2" s="2"/>
      <c r="H2" s="5" t="s">
        <v>118</v>
      </c>
      <c r="I2" s="5" t="s">
        <v>119</v>
      </c>
      <c r="J2" s="5" t="s">
        <v>120</v>
      </c>
      <c r="K2" s="5" t="s">
        <v>121</v>
      </c>
      <c r="L2" s="5" t="s">
        <v>122</v>
      </c>
      <c r="M2" s="5" t="s">
        <v>123</v>
      </c>
    </row>
    <row r="3" spans="1:13" x14ac:dyDescent="0.45">
      <c r="A3" s="5" t="s">
        <v>124</v>
      </c>
      <c r="B3" s="5">
        <v>92</v>
      </c>
      <c r="C3" s="5">
        <v>84</v>
      </c>
      <c r="D3" s="5">
        <v>64</v>
      </c>
      <c r="E3" s="5">
        <v>80</v>
      </c>
      <c r="F3" s="5">
        <f>_xlfn.RANK.EQ(E3,$E$3:$E$11)</f>
        <v>6</v>
      </c>
      <c r="G3" s="2"/>
      <c r="H3" s="5" t="s">
        <v>125</v>
      </c>
      <c r="I3" s="5">
        <v>85</v>
      </c>
      <c r="J3" s="5">
        <v>88</v>
      </c>
      <c r="K3" s="5">
        <v>88</v>
      </c>
      <c r="L3" s="5">
        <v>87</v>
      </c>
      <c r="M3" s="5">
        <v>3</v>
      </c>
    </row>
    <row r="4" spans="1:13" x14ac:dyDescent="0.45">
      <c r="A4" s="5" t="s">
        <v>126</v>
      </c>
      <c r="B4" s="5">
        <v>86</v>
      </c>
      <c r="C4" s="5">
        <v>77</v>
      </c>
      <c r="D4" s="5">
        <v>86</v>
      </c>
      <c r="E4" s="5">
        <v>83</v>
      </c>
      <c r="F4" s="5">
        <f t="shared" ref="F4:F11" si="0">_xlfn.RANK.EQ(E4,$E$3:$E$11)</f>
        <v>4</v>
      </c>
      <c r="G4" s="2"/>
      <c r="H4" s="5" t="s">
        <v>127</v>
      </c>
      <c r="I4" s="5">
        <v>92</v>
      </c>
      <c r="J4" s="5">
        <v>75</v>
      </c>
      <c r="K4" s="5">
        <v>96</v>
      </c>
      <c r="L4" s="5">
        <v>88</v>
      </c>
      <c r="M4" s="5">
        <v>2</v>
      </c>
    </row>
    <row r="5" spans="1:13" x14ac:dyDescent="0.45">
      <c r="A5" s="5" t="s">
        <v>125</v>
      </c>
      <c r="B5" s="5">
        <v>75</v>
      </c>
      <c r="C5" s="5">
        <v>100</v>
      </c>
      <c r="D5" s="5">
        <v>92</v>
      </c>
      <c r="E5" s="5">
        <v>89</v>
      </c>
      <c r="F5" s="5">
        <f t="shared" si="0"/>
        <v>3</v>
      </c>
      <c r="G5" s="2"/>
      <c r="H5" s="5" t="s">
        <v>128</v>
      </c>
      <c r="I5" s="5">
        <v>88</v>
      </c>
      <c r="J5" s="5">
        <v>98</v>
      </c>
      <c r="K5" s="5">
        <v>48</v>
      </c>
      <c r="L5" s="5">
        <v>78</v>
      </c>
      <c r="M5" s="5">
        <v>5</v>
      </c>
    </row>
    <row r="6" spans="1:13" x14ac:dyDescent="0.45">
      <c r="A6" s="5" t="s">
        <v>129</v>
      </c>
      <c r="B6" s="5">
        <v>98</v>
      </c>
      <c r="C6" s="5">
        <v>98</v>
      </c>
      <c r="D6" s="5">
        <v>86</v>
      </c>
      <c r="E6" s="5">
        <v>94</v>
      </c>
      <c r="F6" s="5">
        <f t="shared" si="0"/>
        <v>1</v>
      </c>
      <c r="G6" s="2"/>
      <c r="H6" s="5" t="s">
        <v>124</v>
      </c>
      <c r="I6" s="5">
        <v>78</v>
      </c>
      <c r="J6" s="5">
        <v>99</v>
      </c>
      <c r="K6" s="5">
        <v>52</v>
      </c>
      <c r="L6" s="5">
        <v>76</v>
      </c>
      <c r="M6" s="5">
        <v>7</v>
      </c>
    </row>
    <row r="7" spans="1:13" x14ac:dyDescent="0.45">
      <c r="A7" s="5" t="s">
        <v>130</v>
      </c>
      <c r="B7" s="5">
        <v>75</v>
      </c>
      <c r="C7" s="5">
        <v>64</v>
      </c>
      <c r="D7" s="5">
        <v>55</v>
      </c>
      <c r="E7" s="5">
        <v>65</v>
      </c>
      <c r="F7" s="5">
        <f t="shared" si="0"/>
        <v>8</v>
      </c>
      <c r="G7" s="2"/>
      <c r="H7" s="5" t="s">
        <v>130</v>
      </c>
      <c r="I7" s="5">
        <v>85</v>
      </c>
      <c r="J7" s="5">
        <v>58</v>
      </c>
      <c r="K7" s="5">
        <v>68</v>
      </c>
      <c r="L7" s="5">
        <v>70</v>
      </c>
      <c r="M7" s="5">
        <v>9</v>
      </c>
    </row>
    <row r="8" spans="1:13" x14ac:dyDescent="0.45">
      <c r="A8" s="5" t="s">
        <v>127</v>
      </c>
      <c r="B8" s="5">
        <v>56</v>
      </c>
      <c r="C8" s="5">
        <v>98</v>
      </c>
      <c r="D8" s="5">
        <v>78</v>
      </c>
      <c r="E8" s="5">
        <v>77</v>
      </c>
      <c r="F8" s="5">
        <f t="shared" si="0"/>
        <v>7</v>
      </c>
      <c r="G8" s="2"/>
      <c r="H8" s="5" t="s">
        <v>126</v>
      </c>
      <c r="I8" s="5">
        <v>65</v>
      </c>
      <c r="J8" s="5">
        <v>78</v>
      </c>
      <c r="K8" s="5">
        <v>78</v>
      </c>
      <c r="L8" s="5">
        <v>74</v>
      </c>
      <c r="M8" s="5">
        <v>8</v>
      </c>
    </row>
    <row r="9" spans="1:13" x14ac:dyDescent="0.45">
      <c r="A9" s="5" t="s">
        <v>131</v>
      </c>
      <c r="B9" s="5">
        <v>46</v>
      </c>
      <c r="C9" s="5">
        <v>100</v>
      </c>
      <c r="D9" s="5">
        <v>47</v>
      </c>
      <c r="E9" s="5">
        <v>64</v>
      </c>
      <c r="F9" s="5">
        <f t="shared" si="0"/>
        <v>9</v>
      </c>
      <c r="G9" s="2"/>
      <c r="H9" s="5" t="s">
        <v>131</v>
      </c>
      <c r="I9" s="5">
        <v>78</v>
      </c>
      <c r="J9" s="5">
        <v>88</v>
      </c>
      <c r="K9" s="5">
        <v>99</v>
      </c>
      <c r="L9" s="5">
        <v>88</v>
      </c>
      <c r="M9" s="5">
        <v>1</v>
      </c>
    </row>
    <row r="10" spans="1:13" x14ac:dyDescent="0.45">
      <c r="A10" s="5" t="s">
        <v>132</v>
      </c>
      <c r="B10" s="5">
        <v>84</v>
      </c>
      <c r="C10" s="5">
        <v>88</v>
      </c>
      <c r="D10" s="5">
        <v>98</v>
      </c>
      <c r="E10" s="5">
        <v>90</v>
      </c>
      <c r="F10" s="5">
        <f t="shared" si="0"/>
        <v>2</v>
      </c>
      <c r="G10" s="2"/>
      <c r="H10" s="5" t="s">
        <v>125</v>
      </c>
      <c r="I10" s="5">
        <v>67</v>
      </c>
      <c r="J10" s="5">
        <v>98</v>
      </c>
      <c r="K10" s="5">
        <v>68</v>
      </c>
      <c r="L10" s="5">
        <v>78</v>
      </c>
      <c r="M10" s="5">
        <v>6</v>
      </c>
    </row>
    <row r="11" spans="1:13" x14ac:dyDescent="0.45">
      <c r="A11" s="5" t="s">
        <v>128</v>
      </c>
      <c r="B11" s="5">
        <v>100</v>
      </c>
      <c r="C11" s="5">
        <v>77</v>
      </c>
      <c r="D11" s="5">
        <v>68</v>
      </c>
      <c r="E11" s="5">
        <v>82</v>
      </c>
      <c r="F11" s="5">
        <f t="shared" si="0"/>
        <v>5</v>
      </c>
      <c r="G11" s="2"/>
      <c r="H11" s="5" t="s">
        <v>129</v>
      </c>
      <c r="I11" s="5">
        <v>88</v>
      </c>
      <c r="J11" s="5">
        <v>65</v>
      </c>
      <c r="K11" s="5">
        <v>88</v>
      </c>
      <c r="L11" s="5">
        <v>80</v>
      </c>
      <c r="M11" s="5">
        <v>4</v>
      </c>
    </row>
    <row r="12" spans="1:13" x14ac:dyDescent="0.45">
      <c r="A12" s="5" t="s">
        <v>122</v>
      </c>
      <c r="B12" s="12">
        <f>AVERAGE(B3:B11)</f>
        <v>79.111111111111114</v>
      </c>
      <c r="C12" s="12">
        <f t="shared" ref="C12:D12" si="1">AVERAGE(C3:C11)</f>
        <v>87.333333333333329</v>
      </c>
      <c r="D12" s="12">
        <f t="shared" si="1"/>
        <v>74.888888888888886</v>
      </c>
      <c r="E12" s="26"/>
      <c r="F12" s="27"/>
      <c r="G12" s="2"/>
      <c r="H12" s="5" t="s">
        <v>122</v>
      </c>
      <c r="I12" s="12">
        <f>AVERAGE(I3:I11)</f>
        <v>80.666666666666671</v>
      </c>
      <c r="J12" s="12">
        <f t="shared" ref="J12:K12" si="2">AVERAGE(J3:J11)</f>
        <v>83</v>
      </c>
      <c r="K12" s="12">
        <f t="shared" si="2"/>
        <v>76.111111111111114</v>
      </c>
      <c r="L12" s="26"/>
      <c r="M12" s="27"/>
    </row>
    <row r="14" spans="1:13" x14ac:dyDescent="0.45">
      <c r="A14" s="25" t="s">
        <v>133</v>
      </c>
      <c r="B14" s="25"/>
      <c r="C14" s="25"/>
    </row>
    <row r="15" spans="1:13" x14ac:dyDescent="0.45">
      <c r="A15" s="5" t="s">
        <v>118</v>
      </c>
      <c r="B15" s="5" t="s">
        <v>134</v>
      </c>
      <c r="C15" s="5" t="s">
        <v>135</v>
      </c>
    </row>
    <row r="16" spans="1:13" x14ac:dyDescent="0.45">
      <c r="A16" s="5" t="s">
        <v>126</v>
      </c>
      <c r="B16" s="5"/>
      <c r="C16" s="5"/>
    </row>
    <row r="17" spans="1:3" x14ac:dyDescent="0.45">
      <c r="A17" s="5" t="s">
        <v>125</v>
      </c>
      <c r="B17" s="5"/>
      <c r="C17" s="5"/>
    </row>
    <row r="18" spans="1:3" x14ac:dyDescent="0.45">
      <c r="A18" s="5" t="s">
        <v>129</v>
      </c>
      <c r="B18" s="5"/>
      <c r="C18" s="5"/>
    </row>
    <row r="19" spans="1:3" x14ac:dyDescent="0.45">
      <c r="A19" s="5" t="s">
        <v>131</v>
      </c>
      <c r="B19" s="5"/>
      <c r="C19" s="5"/>
    </row>
    <row r="20" spans="1:3" x14ac:dyDescent="0.45">
      <c r="A20" s="5" t="s">
        <v>132</v>
      </c>
      <c r="B20" s="5"/>
      <c r="C20" s="5"/>
    </row>
    <row r="21" spans="1:3" x14ac:dyDescent="0.45">
      <c r="A21" s="5" t="s">
        <v>128</v>
      </c>
      <c r="B21" s="5"/>
      <c r="C21" s="5"/>
    </row>
  </sheetData>
  <mergeCells count="5">
    <mergeCell ref="A1:F1"/>
    <mergeCell ref="H1:M1"/>
    <mergeCell ref="E12:F12"/>
    <mergeCell ref="L12:M12"/>
    <mergeCell ref="A14:C1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10"/>
  <sheetViews>
    <sheetView workbookViewId="0">
      <selection sqref="A1:G1"/>
    </sheetView>
  </sheetViews>
  <sheetFormatPr defaultRowHeight="17" x14ac:dyDescent="0.45"/>
  <cols>
    <col min="1" max="1" width="12.33203125" bestFit="1" customWidth="1"/>
    <col min="4" max="5" width="8.6640625" customWidth="1"/>
    <col min="6" max="6" width="8.83203125" bestFit="1" customWidth="1"/>
    <col min="7" max="7" width="9.25" bestFit="1" customWidth="1"/>
  </cols>
  <sheetData>
    <row r="1" spans="1:7" ht="21" x14ac:dyDescent="0.45">
      <c r="A1" s="23" t="s">
        <v>136</v>
      </c>
      <c r="B1" s="23"/>
      <c r="C1" s="23"/>
      <c r="D1" s="23"/>
      <c r="E1" s="23"/>
      <c r="F1" s="23"/>
      <c r="G1" s="23"/>
    </row>
    <row r="3" spans="1:7" x14ac:dyDescent="0.45">
      <c r="A3" s="5" t="s">
        <v>1</v>
      </c>
      <c r="B3" s="5" t="s">
        <v>137</v>
      </c>
      <c r="C3" s="5" t="s">
        <v>138</v>
      </c>
      <c r="D3" s="5" t="s">
        <v>139</v>
      </c>
      <c r="E3" s="5" t="s">
        <v>2</v>
      </c>
      <c r="F3" s="5" t="s">
        <v>140</v>
      </c>
      <c r="G3" s="5" t="s">
        <v>141</v>
      </c>
    </row>
    <row r="4" spans="1:7" x14ac:dyDescent="0.45">
      <c r="A4" s="5" t="s">
        <v>142</v>
      </c>
      <c r="B4" s="5" t="s">
        <v>143</v>
      </c>
      <c r="C4" s="5" t="s">
        <v>144</v>
      </c>
      <c r="D4" s="8">
        <v>1</v>
      </c>
      <c r="E4" s="8">
        <v>5</v>
      </c>
      <c r="F4" s="8">
        <v>4</v>
      </c>
      <c r="G4" s="8">
        <v>4506</v>
      </c>
    </row>
    <row r="5" spans="1:7" x14ac:dyDescent="0.45">
      <c r="A5" s="5" t="s">
        <v>145</v>
      </c>
      <c r="B5" s="5" t="s">
        <v>146</v>
      </c>
      <c r="C5" s="5" t="s">
        <v>147</v>
      </c>
      <c r="D5" s="8">
        <v>216</v>
      </c>
      <c r="E5" s="8">
        <v>3</v>
      </c>
      <c r="F5" s="8">
        <v>647</v>
      </c>
      <c r="G5" s="8">
        <v>662876</v>
      </c>
    </row>
    <row r="6" spans="1:7" x14ac:dyDescent="0.45">
      <c r="A6" s="5" t="s">
        <v>148</v>
      </c>
      <c r="B6" s="5" t="s">
        <v>143</v>
      </c>
      <c r="C6" s="5" t="s">
        <v>144</v>
      </c>
      <c r="D6" s="8">
        <v>2</v>
      </c>
      <c r="E6" s="8">
        <v>8</v>
      </c>
      <c r="F6" s="8">
        <v>13</v>
      </c>
      <c r="G6" s="8">
        <v>12861</v>
      </c>
    </row>
    <row r="7" spans="1:7" x14ac:dyDescent="0.45">
      <c r="A7" s="5" t="s">
        <v>149</v>
      </c>
      <c r="B7" s="5" t="s">
        <v>150</v>
      </c>
      <c r="C7" s="5" t="s">
        <v>151</v>
      </c>
      <c r="D7" s="8">
        <v>1</v>
      </c>
      <c r="E7" s="8">
        <v>11</v>
      </c>
      <c r="F7" s="8">
        <v>11</v>
      </c>
      <c r="G7" s="8">
        <v>10926</v>
      </c>
    </row>
    <row r="8" spans="1:7" x14ac:dyDescent="0.45">
      <c r="A8" s="5" t="s">
        <v>152</v>
      </c>
      <c r="B8" s="5" t="s">
        <v>153</v>
      </c>
      <c r="C8" s="5" t="s">
        <v>154</v>
      </c>
      <c r="D8" s="8">
        <v>5</v>
      </c>
      <c r="E8" s="8">
        <v>4</v>
      </c>
      <c r="F8" s="8">
        <v>20</v>
      </c>
      <c r="G8" s="8">
        <v>20603</v>
      </c>
    </row>
    <row r="9" spans="1:7" x14ac:dyDescent="0.45">
      <c r="A9" s="5" t="s">
        <v>155</v>
      </c>
      <c r="B9" s="5" t="s">
        <v>156</v>
      </c>
      <c r="C9" s="5" t="s">
        <v>157</v>
      </c>
      <c r="D9" s="8">
        <v>42</v>
      </c>
      <c r="E9" s="8">
        <v>3</v>
      </c>
      <c r="F9" s="8">
        <v>126</v>
      </c>
      <c r="G9" s="8">
        <v>129454</v>
      </c>
    </row>
    <row r="10" spans="1:7" x14ac:dyDescent="0.45">
      <c r="A10" s="18" t="s">
        <v>158</v>
      </c>
      <c r="B10" s="24"/>
      <c r="C10" s="19"/>
      <c r="D10" s="8"/>
      <c r="E10" s="8"/>
      <c r="F10" s="8"/>
      <c r="G10" s="8"/>
    </row>
  </sheetData>
  <mergeCells count="2">
    <mergeCell ref="A1:G1"/>
    <mergeCell ref="A10:C10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8"/>
  <sheetViews>
    <sheetView workbookViewId="0">
      <selection sqref="A1:F1"/>
    </sheetView>
  </sheetViews>
  <sheetFormatPr defaultRowHeight="17" x14ac:dyDescent="0.45"/>
  <sheetData>
    <row r="1" spans="1:6" ht="21" x14ac:dyDescent="0.45">
      <c r="A1" s="23" t="s">
        <v>159</v>
      </c>
      <c r="B1" s="23"/>
      <c r="C1" s="23"/>
      <c r="D1" s="23"/>
      <c r="E1" s="23"/>
      <c r="F1" s="23"/>
    </row>
    <row r="2" spans="1:6" x14ac:dyDescent="0.45">
      <c r="F2" s="13" t="s">
        <v>160</v>
      </c>
    </row>
    <row r="3" spans="1:6" x14ac:dyDescent="0.45">
      <c r="A3" s="5" t="s">
        <v>161</v>
      </c>
      <c r="B3" s="5" t="s">
        <v>162</v>
      </c>
      <c r="C3" s="5" t="s">
        <v>163</v>
      </c>
      <c r="D3" s="5" t="s">
        <v>114</v>
      </c>
      <c r="E3" s="5" t="s">
        <v>164</v>
      </c>
      <c r="F3" s="5" t="s">
        <v>165</v>
      </c>
    </row>
    <row r="4" spans="1:6" x14ac:dyDescent="0.45">
      <c r="A4" s="5" t="s">
        <v>175</v>
      </c>
      <c r="B4" s="16">
        <v>1053</v>
      </c>
      <c r="C4" s="16">
        <v>8232</v>
      </c>
      <c r="D4" s="16">
        <f>SUM(B4:C4)</f>
        <v>9285</v>
      </c>
      <c r="E4" s="15">
        <v>-1518</v>
      </c>
      <c r="F4" s="14">
        <v>0.12820000000000001</v>
      </c>
    </row>
    <row r="5" spans="1:6" x14ac:dyDescent="0.45">
      <c r="A5" s="5" t="s">
        <v>176</v>
      </c>
      <c r="B5" s="16">
        <v>1193</v>
      </c>
      <c r="C5" s="16">
        <v>8033</v>
      </c>
      <c r="D5" s="16">
        <f t="shared" ref="D5:D8" si="0">SUM(B5:C5)</f>
        <v>9226</v>
      </c>
      <c r="E5" s="15">
        <v>-1696</v>
      </c>
      <c r="F5" s="14">
        <v>0.14879999999999999</v>
      </c>
    </row>
    <row r="6" spans="1:6" x14ac:dyDescent="0.45">
      <c r="A6" s="5" t="s">
        <v>177</v>
      </c>
      <c r="B6" s="16">
        <v>1060</v>
      </c>
      <c r="C6" s="16">
        <v>8269</v>
      </c>
      <c r="D6" s="16">
        <f t="shared" si="0"/>
        <v>9329</v>
      </c>
      <c r="E6" s="15">
        <v>-1715</v>
      </c>
      <c r="F6" s="14">
        <v>0.12839999999999999</v>
      </c>
    </row>
    <row r="7" spans="1:6" x14ac:dyDescent="0.45">
      <c r="A7" s="5" t="s">
        <v>178</v>
      </c>
      <c r="B7" s="16">
        <v>1426</v>
      </c>
      <c r="C7" s="16">
        <v>4373</v>
      </c>
      <c r="D7" s="16">
        <f t="shared" si="0"/>
        <v>5799</v>
      </c>
      <c r="E7" s="15">
        <v>-1177</v>
      </c>
      <c r="F7" s="14">
        <v>0.32669999999999999</v>
      </c>
    </row>
    <row r="8" spans="1:6" x14ac:dyDescent="0.45">
      <c r="A8" s="5" t="s">
        <v>179</v>
      </c>
      <c r="B8" s="16">
        <v>1539</v>
      </c>
      <c r="C8" s="16">
        <v>4486</v>
      </c>
      <c r="D8" s="16">
        <f t="shared" si="0"/>
        <v>6025</v>
      </c>
      <c r="E8" s="15">
        <v>-1064</v>
      </c>
      <c r="F8" s="14">
        <v>0.34370000000000001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2024-07-16T07:48:34Z</dcterms:modified>
</cp:coreProperties>
</file>