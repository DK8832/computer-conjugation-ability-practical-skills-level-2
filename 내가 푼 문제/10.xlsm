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1 섹션\"/>
    </mc:Choice>
  </mc:AlternateContent>
  <xr:revisionPtr revIDLastSave="0" documentId="13_ncr:1_{9FFD0E1A-C0F1-4B38-9A83-67B4F7E18847}" xr6:coauthVersionLast="47" xr6:coauthVersionMax="47" xr10:uidLastSave="{00000000-0000-0000-0000-000000000000}"/>
  <bookViews>
    <workbookView xWindow="-19200" yWindow="0" windowWidth="19200" windowHeight="21140" xr2:uid="{EE757160-5024-4120-A609-A74D9106D7A4}"/>
  </bookViews>
  <sheets>
    <sheet name="무작정따라하기" sheetId="9" r:id="rId1"/>
    <sheet name="기출01" sheetId="11" r:id="rId2"/>
    <sheet name="기출02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" i="11" l="1"/>
  <c r="E16" i="11"/>
  <c r="E9" i="11"/>
  <c r="E27" i="11" s="1"/>
  <c r="E26" i="11"/>
  <c r="D26" i="11"/>
  <c r="E17" i="11"/>
  <c r="D17" i="11"/>
  <c r="E10" i="11"/>
  <c r="E28" i="11" s="1"/>
  <c r="D10" i="11"/>
  <c r="D28" i="11" s="1"/>
  <c r="E6" i="9" l="1"/>
  <c r="E29" i="9"/>
  <c r="E26" i="9"/>
  <c r="E21" i="9"/>
  <c r="E18" i="9"/>
  <c r="E13" i="9"/>
  <c r="E10" i="9"/>
  <c r="F30" i="9"/>
  <c r="E30" i="9"/>
  <c r="F22" i="9"/>
  <c r="E22" i="9"/>
  <c r="F14" i="9"/>
  <c r="F32" i="9" s="1"/>
  <c r="E14" i="9" l="1"/>
  <c r="E32" i="9" s="1"/>
  <c r="E31" i="9" l="1"/>
  <c r="E4" i="5" l="1"/>
  <c r="F4" i="5" s="1"/>
  <c r="E20" i="5"/>
  <c r="F20" i="5" s="1"/>
  <c r="G20" i="5" s="1"/>
  <c r="E10" i="5"/>
  <c r="F10" i="5" s="1"/>
  <c r="E5" i="5"/>
  <c r="F5" i="5"/>
  <c r="G5" i="5" s="1"/>
  <c r="E14" i="5"/>
  <c r="F14" i="5" s="1"/>
  <c r="F17" i="5" s="1"/>
  <c r="E6" i="5"/>
  <c r="F6" i="5" s="1"/>
  <c r="G6" i="5" s="1"/>
  <c r="E11" i="5"/>
  <c r="F11" i="5" s="1"/>
  <c r="G11" i="5" s="1"/>
  <c r="E15" i="5"/>
  <c r="F15" i="5" s="1"/>
  <c r="G15" i="5" s="1"/>
  <c r="E16" i="5"/>
  <c r="F16" i="5" s="1"/>
  <c r="G16" i="5" s="1"/>
  <c r="E7" i="5"/>
  <c r="F7" i="5"/>
  <c r="G7" i="5" s="1"/>
  <c r="E19" i="5"/>
  <c r="F19" i="5" s="1"/>
  <c r="F21" i="5" s="1"/>
  <c r="F12" i="5" l="1"/>
  <c r="F8" i="5"/>
  <c r="F23" i="5" s="1"/>
  <c r="G10" i="5"/>
  <c r="F13" i="5"/>
  <c r="G4" i="5"/>
  <c r="F9" i="5"/>
  <c r="F24" i="5" s="1"/>
  <c r="G14" i="5"/>
  <c r="F18" i="5"/>
  <c r="F22" i="5"/>
  <c r="G19" i="5"/>
  <c r="G21" i="5" s="1"/>
  <c r="H7" i="5"/>
  <c r="H15" i="5"/>
  <c r="H6" i="5"/>
  <c r="H5" i="5"/>
  <c r="H20" i="5"/>
  <c r="H16" i="5"/>
  <c r="H11" i="5"/>
  <c r="H10" i="5"/>
  <c r="H4" i="5"/>
  <c r="G18" i="5" l="1"/>
  <c r="G17" i="5"/>
  <c r="G8" i="5"/>
  <c r="G23" i="5" s="1"/>
  <c r="H13" i="5"/>
  <c r="H12" i="5"/>
  <c r="G13" i="5"/>
  <c r="G12" i="5"/>
  <c r="H8" i="5"/>
  <c r="H9" i="5"/>
  <c r="H14" i="5"/>
  <c r="G9" i="5"/>
  <c r="H19" i="5"/>
  <c r="G22" i="5"/>
  <c r="H18" i="5" l="1"/>
  <c r="H17" i="5"/>
  <c r="H23" i="5" s="1"/>
  <c r="H22" i="5"/>
  <c r="H21" i="5"/>
  <c r="G24" i="5"/>
  <c r="H24" i="5"/>
</calcChain>
</file>

<file path=xl/sharedStrings.xml><?xml version="1.0" encoding="utf-8"?>
<sst xmlns="http://schemas.openxmlformats.org/spreadsheetml/2006/main" count="178" uniqueCount="84">
  <si>
    <t>한의원의 이용실태</t>
    <phoneticPr fontId="1" type="noConversion"/>
  </si>
  <si>
    <t>진료시간대</t>
  </si>
  <si>
    <t>진료과목</t>
  </si>
  <si>
    <t>거주지역</t>
  </si>
  <si>
    <t>성별</t>
  </si>
  <si>
    <t>인원</t>
  </si>
  <si>
    <t>연령대</t>
  </si>
  <si>
    <t>내과</t>
  </si>
  <si>
    <t>라인</t>
  </si>
  <si>
    <t>남</t>
  </si>
  <si>
    <t>침구과</t>
  </si>
  <si>
    <t>여</t>
  </si>
  <si>
    <t>금호</t>
  </si>
  <si>
    <t>현대</t>
  </si>
  <si>
    <t>부인과</t>
  </si>
  <si>
    <t>배달일지</t>
    <phoneticPr fontId="1" type="noConversion"/>
  </si>
  <si>
    <t>일자</t>
  </si>
  <si>
    <t>배달담당</t>
  </si>
  <si>
    <t>배달지역</t>
  </si>
  <si>
    <t>배달시간(분)</t>
  </si>
  <si>
    <t>배달량</t>
  </si>
  <si>
    <t>비고</t>
  </si>
  <si>
    <t>1월 12일</t>
  </si>
  <si>
    <t>도부영</t>
  </si>
  <si>
    <t>산북지구</t>
  </si>
  <si>
    <t>배무현</t>
  </si>
  <si>
    <t>산서지구</t>
  </si>
  <si>
    <t>장동욱</t>
  </si>
  <si>
    <t>산동지구</t>
  </si>
  <si>
    <t>1월 13일</t>
  </si>
  <si>
    <t>산남지구</t>
  </si>
  <si>
    <t>1월 14일</t>
  </si>
  <si>
    <t>1월 15일</t>
  </si>
  <si>
    <t>1월 16일</t>
  </si>
  <si>
    <t>1월 17일</t>
  </si>
  <si>
    <t>배달누락</t>
    <phoneticPr fontId="1" type="noConversion"/>
  </si>
  <si>
    <t>급여 분석 현황</t>
    <phoneticPr fontId="1" type="noConversion"/>
  </si>
  <si>
    <t>사원번호</t>
  </si>
  <si>
    <t>성명</t>
  </si>
  <si>
    <t>직위</t>
  </si>
  <si>
    <t>기본급</t>
  </si>
  <si>
    <t>상여금</t>
  </si>
  <si>
    <t>급여계</t>
  </si>
  <si>
    <t>공제계</t>
  </si>
  <si>
    <t>실수령액</t>
  </si>
  <si>
    <t>차진수</t>
  </si>
  <si>
    <t>과장</t>
  </si>
  <si>
    <t>마시리</t>
  </si>
  <si>
    <t>사원</t>
  </si>
  <si>
    <t>하수진</t>
  </si>
  <si>
    <t>오현명</t>
  </si>
  <si>
    <t>부장</t>
  </si>
  <si>
    <t>백지경</t>
  </si>
  <si>
    <t>정형수</t>
  </si>
  <si>
    <t>대리</t>
  </si>
  <si>
    <t>유현인</t>
  </si>
  <si>
    <t>이지형</t>
  </si>
  <si>
    <t>나진의</t>
  </si>
  <si>
    <t>진인진</t>
  </si>
  <si>
    <t>피현정</t>
  </si>
  <si>
    <t>내과 평균</t>
  </si>
  <si>
    <t>부인과 평균</t>
  </si>
  <si>
    <t>침구과 평균</t>
  </si>
  <si>
    <t>전체 평균</t>
  </si>
  <si>
    <t>현대 최소</t>
  </si>
  <si>
    <t>라인 최소</t>
  </si>
  <si>
    <t>금호 최소</t>
  </si>
  <si>
    <t>전체 최소값</t>
  </si>
  <si>
    <t>도부영 최대</t>
  </si>
  <si>
    <t>배무현 최대</t>
  </si>
  <si>
    <t>장동욱 최대</t>
  </si>
  <si>
    <t>전체 최대값</t>
  </si>
  <si>
    <t>도부영 요약</t>
  </si>
  <si>
    <t>배무현 요약</t>
  </si>
  <si>
    <t>장동욱 요약</t>
  </si>
  <si>
    <t>총합계</t>
  </si>
  <si>
    <t>사원 요약</t>
  </si>
  <si>
    <t>부장 요약</t>
  </si>
  <si>
    <t>대리 요약</t>
  </si>
  <si>
    <t>과장 요약</t>
  </si>
  <si>
    <t>사원 평균</t>
  </si>
  <si>
    <t>부장 평균</t>
  </si>
  <si>
    <t>대리 평균</t>
  </si>
  <si>
    <t>과장 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</si>
</sst>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 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41" fontId="4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10"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C43C8C-8E09-4776-9778-D166317F4B09}" name="표2" displayName="표2" ref="A3:F28" totalsRowShown="0" headerRowDxfId="9" dataDxfId="7" headerRowBorderDxfId="8" tableBorderDxfId="6">
  <autoFilter ref="A3:F28" xr:uid="{F4C43C8C-8E09-4776-9778-D166317F4B09}"/>
  <tableColumns count="6">
    <tableColumn id="1" xr3:uid="{D20CEB99-2241-4D6D-B8CA-EA8238AB9E97}" name="일자" dataDxfId="5"/>
    <tableColumn id="2" xr3:uid="{131E9CFD-A763-4D05-ABB3-6224CFB0ECEB}" name="배달담당" dataDxfId="4"/>
    <tableColumn id="3" xr3:uid="{4135B1C2-B433-488A-8696-16C0066B96CA}" name="배달지역" dataDxfId="3"/>
    <tableColumn id="4" xr3:uid="{D59D191F-59FD-4E47-8193-AD68ADE74A58}" name="배달시간(분)" dataDxfId="2"/>
    <tableColumn id="5" xr3:uid="{1B411045-E4A7-4C73-ABD9-9974C14CDD6C}" name="배달량" dataDxfId="1" dataCellStyle="쉼표 [0]"/>
    <tableColumn id="6" xr3:uid="{9644DA8B-7016-4309-9448-486EAC37C824}" name="비고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E3EE4-52A1-4502-A200-88A9FC7ABA08}">
  <dimension ref="A1:F32"/>
  <sheetViews>
    <sheetView tabSelected="1" workbookViewId="0">
      <selection sqref="A1:F1"/>
    </sheetView>
  </sheetViews>
  <sheetFormatPr defaultRowHeight="17" outlineLevelRow="3" x14ac:dyDescent="0.45"/>
  <cols>
    <col min="1" max="1" width="10.4140625" bestFit="1" customWidth="1"/>
    <col min="2" max="3" width="11.25" bestFit="1" customWidth="1"/>
  </cols>
  <sheetData>
    <row r="1" spans="1:6" ht="21" x14ac:dyDescent="0.45">
      <c r="A1" s="16" t="s">
        <v>0</v>
      </c>
      <c r="B1" s="16"/>
      <c r="C1" s="16"/>
      <c r="D1" s="16"/>
      <c r="E1" s="16"/>
      <c r="F1" s="16"/>
    </row>
    <row r="3" spans="1:6" x14ac:dyDescent="0.45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spans="1:6" outlineLevel="3" x14ac:dyDescent="0.45">
      <c r="A4" s="2">
        <v>0.45833333333333331</v>
      </c>
      <c r="B4" s="1" t="s">
        <v>7</v>
      </c>
      <c r="C4" s="1" t="s">
        <v>13</v>
      </c>
      <c r="D4" s="1" t="s">
        <v>9</v>
      </c>
      <c r="E4" s="1">
        <v>6</v>
      </c>
      <c r="F4" s="11">
        <v>60</v>
      </c>
    </row>
    <row r="5" spans="1:6" outlineLevel="3" x14ac:dyDescent="0.45">
      <c r="A5" s="2">
        <v>0.625</v>
      </c>
      <c r="B5" s="1" t="s">
        <v>7</v>
      </c>
      <c r="C5" s="1" t="s">
        <v>13</v>
      </c>
      <c r="D5" s="1" t="s">
        <v>11</v>
      </c>
      <c r="E5" s="1">
        <v>3</v>
      </c>
      <c r="F5" s="11">
        <v>60</v>
      </c>
    </row>
    <row r="6" spans="1:6" outlineLevel="2" x14ac:dyDescent="0.45">
      <c r="A6" s="2"/>
      <c r="B6" s="1"/>
      <c r="C6" s="5" t="s">
        <v>64</v>
      </c>
      <c r="D6" s="1"/>
      <c r="E6" s="1">
        <f>SUBTOTAL(5,E4:E5)</f>
        <v>3</v>
      </c>
      <c r="F6" s="11"/>
    </row>
    <row r="7" spans="1:6" outlineLevel="3" x14ac:dyDescent="0.45">
      <c r="A7" s="2">
        <v>0.41666666666666669</v>
      </c>
      <c r="B7" s="1" t="s">
        <v>7</v>
      </c>
      <c r="C7" s="1" t="s">
        <v>8</v>
      </c>
      <c r="D7" s="1" t="s">
        <v>9</v>
      </c>
      <c r="E7" s="1">
        <v>3</v>
      </c>
      <c r="F7" s="11">
        <v>60</v>
      </c>
    </row>
    <row r="8" spans="1:6" outlineLevel="3" x14ac:dyDescent="0.45">
      <c r="A8" s="2">
        <v>0.625</v>
      </c>
      <c r="B8" s="1" t="s">
        <v>7</v>
      </c>
      <c r="C8" s="1" t="s">
        <v>8</v>
      </c>
      <c r="D8" s="1" t="s">
        <v>11</v>
      </c>
      <c r="E8" s="1">
        <v>6</v>
      </c>
      <c r="F8" s="11">
        <v>50</v>
      </c>
    </row>
    <row r="9" spans="1:6" outlineLevel="3" x14ac:dyDescent="0.45">
      <c r="A9" s="2">
        <v>0.66666666666666663</v>
      </c>
      <c r="B9" s="1" t="s">
        <v>7</v>
      </c>
      <c r="C9" s="1" t="s">
        <v>8</v>
      </c>
      <c r="D9" s="1" t="s">
        <v>11</v>
      </c>
      <c r="E9" s="1">
        <v>9</v>
      </c>
      <c r="F9" s="11">
        <v>40</v>
      </c>
    </row>
    <row r="10" spans="1:6" outlineLevel="2" x14ac:dyDescent="0.45">
      <c r="A10" s="2"/>
      <c r="B10" s="1"/>
      <c r="C10" s="5" t="s">
        <v>65</v>
      </c>
      <c r="D10" s="1"/>
      <c r="E10" s="1">
        <f>SUBTOTAL(5,E7:E9)</f>
        <v>3</v>
      </c>
      <c r="F10" s="11"/>
    </row>
    <row r="11" spans="1:6" outlineLevel="3" x14ac:dyDescent="0.45">
      <c r="A11" s="2">
        <v>0.45833333333333331</v>
      </c>
      <c r="B11" s="1" t="s">
        <v>7</v>
      </c>
      <c r="C11" s="1" t="s">
        <v>12</v>
      </c>
      <c r="D11" s="1" t="s">
        <v>11</v>
      </c>
      <c r="E11" s="1">
        <v>4</v>
      </c>
      <c r="F11" s="11">
        <v>40</v>
      </c>
    </row>
    <row r="12" spans="1:6" outlineLevel="3" x14ac:dyDescent="0.45">
      <c r="A12" s="2">
        <v>0.75</v>
      </c>
      <c r="B12" s="1" t="s">
        <v>7</v>
      </c>
      <c r="C12" s="1" t="s">
        <v>12</v>
      </c>
      <c r="D12" s="1" t="s">
        <v>9</v>
      </c>
      <c r="E12" s="1">
        <v>6</v>
      </c>
      <c r="F12" s="11">
        <v>60</v>
      </c>
    </row>
    <row r="13" spans="1:6" outlineLevel="2" x14ac:dyDescent="0.45">
      <c r="A13" s="2"/>
      <c r="B13" s="1"/>
      <c r="C13" s="5" t="s">
        <v>66</v>
      </c>
      <c r="D13" s="1"/>
      <c r="E13" s="1">
        <f>SUBTOTAL(5,E11:E12)</f>
        <v>4</v>
      </c>
      <c r="F13" s="11"/>
    </row>
    <row r="14" spans="1:6" outlineLevel="1" x14ac:dyDescent="0.45">
      <c r="A14" s="2"/>
      <c r="B14" s="5" t="s">
        <v>60</v>
      </c>
      <c r="C14" s="1"/>
      <c r="D14" s="1"/>
      <c r="E14" s="9">
        <f>SUBTOTAL(1,E4:E12)</f>
        <v>5.2857142857142856</v>
      </c>
      <c r="F14" s="11">
        <f>SUBTOTAL(1,F4:F12)</f>
        <v>52.857142857142854</v>
      </c>
    </row>
    <row r="15" spans="1:6" outlineLevel="3" x14ac:dyDescent="0.45">
      <c r="A15" s="2">
        <v>0.58333333333333337</v>
      </c>
      <c r="B15" s="1" t="s">
        <v>14</v>
      </c>
      <c r="C15" s="1" t="s">
        <v>13</v>
      </c>
      <c r="D15" s="1" t="s">
        <v>11</v>
      </c>
      <c r="E15" s="1">
        <v>11</v>
      </c>
      <c r="F15" s="11">
        <v>50</v>
      </c>
    </row>
    <row r="16" spans="1:6" outlineLevel="3" x14ac:dyDescent="0.45">
      <c r="A16" s="2">
        <v>0.625</v>
      </c>
      <c r="B16" s="1" t="s">
        <v>14</v>
      </c>
      <c r="C16" s="1" t="s">
        <v>13</v>
      </c>
      <c r="D16" s="1" t="s">
        <v>11</v>
      </c>
      <c r="E16" s="1">
        <v>3</v>
      </c>
      <c r="F16" s="11">
        <v>60</v>
      </c>
    </row>
    <row r="17" spans="1:6" outlineLevel="3" x14ac:dyDescent="0.45">
      <c r="A17" s="2">
        <v>0.75</v>
      </c>
      <c r="B17" s="1" t="s">
        <v>14</v>
      </c>
      <c r="C17" s="1" t="s">
        <v>13</v>
      </c>
      <c r="D17" s="1" t="s">
        <v>11</v>
      </c>
      <c r="E17" s="1">
        <v>9</v>
      </c>
      <c r="F17" s="11">
        <v>40</v>
      </c>
    </row>
    <row r="18" spans="1:6" outlineLevel="2" x14ac:dyDescent="0.45">
      <c r="A18" s="2"/>
      <c r="B18" s="1"/>
      <c r="C18" s="5" t="s">
        <v>64</v>
      </c>
      <c r="D18" s="1"/>
      <c r="E18" s="1">
        <f>SUBTOTAL(5,E15:E17)</f>
        <v>3</v>
      </c>
      <c r="F18" s="11"/>
    </row>
    <row r="19" spans="1:6" outlineLevel="3" x14ac:dyDescent="0.45">
      <c r="A19" s="2">
        <v>0.54166666666666663</v>
      </c>
      <c r="B19" s="1" t="s">
        <v>14</v>
      </c>
      <c r="C19" s="1" t="s">
        <v>12</v>
      </c>
      <c r="D19" s="1" t="s">
        <v>11</v>
      </c>
      <c r="E19" s="1">
        <v>8</v>
      </c>
      <c r="F19" s="11">
        <v>60</v>
      </c>
    </row>
    <row r="20" spans="1:6" outlineLevel="3" x14ac:dyDescent="0.45">
      <c r="A20" s="2">
        <v>0.58333333333333337</v>
      </c>
      <c r="B20" s="1" t="s">
        <v>14</v>
      </c>
      <c r="C20" s="1" t="s">
        <v>12</v>
      </c>
      <c r="D20" s="1" t="s">
        <v>11</v>
      </c>
      <c r="E20" s="1">
        <v>7</v>
      </c>
      <c r="F20" s="11">
        <v>60</v>
      </c>
    </row>
    <row r="21" spans="1:6" outlineLevel="2" x14ac:dyDescent="0.45">
      <c r="A21" s="2"/>
      <c r="B21" s="1"/>
      <c r="C21" s="5" t="s">
        <v>66</v>
      </c>
      <c r="D21" s="1"/>
      <c r="E21" s="1">
        <f>SUBTOTAL(5,E19:E20)</f>
        <v>7</v>
      </c>
      <c r="F21" s="11"/>
    </row>
    <row r="22" spans="1:6" outlineLevel="1" x14ac:dyDescent="0.45">
      <c r="A22" s="2"/>
      <c r="B22" s="5" t="s">
        <v>61</v>
      </c>
      <c r="C22" s="1"/>
      <c r="D22" s="1"/>
      <c r="E22" s="9">
        <f>SUBTOTAL(1,E15:E20)</f>
        <v>7.6</v>
      </c>
      <c r="F22" s="11">
        <f>SUBTOTAL(1,F15:F20)</f>
        <v>54</v>
      </c>
    </row>
    <row r="23" spans="1:6" outlineLevel="3" x14ac:dyDescent="0.45">
      <c r="A23" s="2">
        <v>0.41666666666666669</v>
      </c>
      <c r="B23" s="1" t="s">
        <v>10</v>
      </c>
      <c r="C23" s="1" t="s">
        <v>8</v>
      </c>
      <c r="D23" s="1" t="s">
        <v>11</v>
      </c>
      <c r="E23" s="1">
        <v>7</v>
      </c>
      <c r="F23" s="11">
        <v>50</v>
      </c>
    </row>
    <row r="24" spans="1:6" outlineLevel="3" x14ac:dyDescent="0.45">
      <c r="A24" s="2">
        <v>0.66666666666666663</v>
      </c>
      <c r="B24" s="1" t="s">
        <v>10</v>
      </c>
      <c r="C24" s="1" t="s">
        <v>8</v>
      </c>
      <c r="D24" s="1" t="s">
        <v>9</v>
      </c>
      <c r="E24" s="1">
        <v>12</v>
      </c>
      <c r="F24" s="11">
        <v>40</v>
      </c>
    </row>
    <row r="25" spans="1:6" outlineLevel="3" x14ac:dyDescent="0.45">
      <c r="A25" s="2">
        <v>0.75</v>
      </c>
      <c r="B25" s="1" t="s">
        <v>10</v>
      </c>
      <c r="C25" s="1" t="s">
        <v>8</v>
      </c>
      <c r="D25" s="1" t="s">
        <v>11</v>
      </c>
      <c r="E25" s="1">
        <v>10</v>
      </c>
      <c r="F25" s="11">
        <v>60</v>
      </c>
    </row>
    <row r="26" spans="1:6" outlineLevel="2" x14ac:dyDescent="0.45">
      <c r="A26" s="2"/>
      <c r="B26" s="1"/>
      <c r="C26" s="5" t="s">
        <v>65</v>
      </c>
      <c r="D26" s="1"/>
      <c r="E26" s="1">
        <f>SUBTOTAL(5,E23:E25)</f>
        <v>7</v>
      </c>
      <c r="F26" s="11"/>
    </row>
    <row r="27" spans="1:6" outlineLevel="3" x14ac:dyDescent="0.45">
      <c r="A27" s="2">
        <v>0.58333333333333337</v>
      </c>
      <c r="B27" s="1" t="s">
        <v>10</v>
      </c>
      <c r="C27" s="1" t="s">
        <v>12</v>
      </c>
      <c r="D27" s="1" t="s">
        <v>9</v>
      </c>
      <c r="E27" s="1">
        <v>5</v>
      </c>
      <c r="F27" s="11">
        <v>50</v>
      </c>
    </row>
    <row r="28" spans="1:6" outlineLevel="3" x14ac:dyDescent="0.45">
      <c r="A28" s="2">
        <v>0.70833333333333337</v>
      </c>
      <c r="B28" s="1" t="s">
        <v>10</v>
      </c>
      <c r="C28" s="1" t="s">
        <v>12</v>
      </c>
      <c r="D28" s="1" t="s">
        <v>11</v>
      </c>
      <c r="E28" s="1">
        <v>7</v>
      </c>
      <c r="F28" s="11">
        <v>40</v>
      </c>
    </row>
    <row r="29" spans="1:6" outlineLevel="2" x14ac:dyDescent="0.45">
      <c r="A29" s="6"/>
      <c r="B29" s="7"/>
      <c r="C29" s="8" t="s">
        <v>66</v>
      </c>
      <c r="D29" s="7"/>
      <c r="E29" s="7">
        <f>SUBTOTAL(5,E27:E28)</f>
        <v>5</v>
      </c>
      <c r="F29" s="12"/>
    </row>
    <row r="30" spans="1:6" outlineLevel="1" x14ac:dyDescent="0.45">
      <c r="A30" s="6"/>
      <c r="B30" s="8" t="s">
        <v>62</v>
      </c>
      <c r="C30" s="7"/>
      <c r="D30" s="7"/>
      <c r="E30" s="10">
        <f>SUBTOTAL(1,E23:E28)</f>
        <v>8.1999999999999993</v>
      </c>
      <c r="F30" s="12">
        <f>SUBTOTAL(1,F23:F28)</f>
        <v>48</v>
      </c>
    </row>
    <row r="31" spans="1:6" x14ac:dyDescent="0.45">
      <c r="A31" s="6"/>
      <c r="B31" s="8"/>
      <c r="C31" s="8" t="s">
        <v>67</v>
      </c>
      <c r="D31" s="7"/>
      <c r="E31" s="7">
        <f>SUBTOTAL(5,E4:E28)</f>
        <v>3</v>
      </c>
      <c r="F31" s="12"/>
    </row>
    <row r="32" spans="1:6" x14ac:dyDescent="0.45">
      <c r="A32" s="6"/>
      <c r="B32" s="8" t="s">
        <v>63</v>
      </c>
      <c r="C32" s="7"/>
      <c r="D32" s="7"/>
      <c r="E32" s="10">
        <f>SUBTOTAL(1,E4:E28)</f>
        <v>6.8235294117647056</v>
      </c>
      <c r="F32" s="12">
        <f>SUBTOTAL(1,F4:F28)</f>
        <v>51.764705882352942</v>
      </c>
    </row>
  </sheetData>
  <sortState xmlns:xlrd2="http://schemas.microsoft.com/office/spreadsheetml/2017/richdata2" ref="A4:F28">
    <sortCondition ref="B4:B28"/>
    <sortCondition descending="1" ref="C4:C28"/>
  </sortState>
  <mergeCells count="1">
    <mergeCell ref="A1:F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65895-E78C-41A8-9BD1-C63AF34A3706}">
  <dimension ref="A1:F28"/>
  <sheetViews>
    <sheetView workbookViewId="0">
      <selection sqref="A1:F1"/>
    </sheetView>
  </sheetViews>
  <sheetFormatPr defaultRowHeight="17" outlineLevelRow="3" x14ac:dyDescent="0.45"/>
  <cols>
    <col min="1" max="1" width="9.1640625" bestFit="1" customWidth="1"/>
    <col min="2" max="3" width="12.83203125" bestFit="1" customWidth="1"/>
    <col min="4" max="4" width="16.1640625" bestFit="1" customWidth="1"/>
    <col min="5" max="5" width="11" bestFit="1" customWidth="1"/>
    <col min="6" max="6" width="9.1640625" bestFit="1" customWidth="1"/>
  </cols>
  <sheetData>
    <row r="1" spans="1:6" ht="21" x14ac:dyDescent="0.45">
      <c r="A1" s="16" t="s">
        <v>15</v>
      </c>
      <c r="B1" s="16"/>
      <c r="C1" s="16"/>
      <c r="D1" s="16"/>
      <c r="E1" s="16"/>
      <c r="F1" s="16"/>
    </row>
    <row r="3" spans="1:6" x14ac:dyDescent="0.45">
      <c r="A3" s="13" t="s">
        <v>16</v>
      </c>
      <c r="B3" s="13" t="s">
        <v>17</v>
      </c>
      <c r="C3" s="13" t="s">
        <v>18</v>
      </c>
      <c r="D3" s="13" t="s">
        <v>19</v>
      </c>
      <c r="E3" s="13" t="s">
        <v>20</v>
      </c>
      <c r="F3" s="13" t="s">
        <v>21</v>
      </c>
    </row>
    <row r="4" spans="1:6" outlineLevel="3" x14ac:dyDescent="0.45">
      <c r="A4" s="1" t="s">
        <v>22</v>
      </c>
      <c r="B4" s="1" t="s">
        <v>23</v>
      </c>
      <c r="C4" s="1" t="s">
        <v>24</v>
      </c>
      <c r="D4" s="1">
        <v>37</v>
      </c>
      <c r="E4" s="4">
        <v>331</v>
      </c>
      <c r="F4" s="1"/>
    </row>
    <row r="5" spans="1:6" outlineLevel="3" x14ac:dyDescent="0.45">
      <c r="A5" s="1" t="s">
        <v>29</v>
      </c>
      <c r="B5" s="1" t="s">
        <v>23</v>
      </c>
      <c r="C5" s="1" t="s">
        <v>26</v>
      </c>
      <c r="D5" s="1">
        <v>28</v>
      </c>
      <c r="E5" s="4">
        <v>62</v>
      </c>
      <c r="F5" s="1"/>
    </row>
    <row r="6" spans="1:6" outlineLevel="3" x14ac:dyDescent="0.45">
      <c r="A6" s="1" t="s">
        <v>31</v>
      </c>
      <c r="B6" s="1" t="s">
        <v>23</v>
      </c>
      <c r="C6" s="1" t="s">
        <v>26</v>
      </c>
      <c r="D6" s="1">
        <v>13</v>
      </c>
      <c r="E6" s="4">
        <v>914</v>
      </c>
      <c r="F6" s="1"/>
    </row>
    <row r="7" spans="1:6" outlineLevel="3" x14ac:dyDescent="0.45">
      <c r="A7" s="1" t="s">
        <v>32</v>
      </c>
      <c r="B7" s="1" t="s">
        <v>23</v>
      </c>
      <c r="C7" s="1" t="s">
        <v>30</v>
      </c>
      <c r="D7" s="1">
        <v>16</v>
      </c>
      <c r="E7" s="4">
        <v>322</v>
      </c>
      <c r="F7" s="1"/>
    </row>
    <row r="8" spans="1:6" outlineLevel="3" x14ac:dyDescent="0.45">
      <c r="A8" s="1" t="s">
        <v>33</v>
      </c>
      <c r="B8" s="1" t="s">
        <v>23</v>
      </c>
      <c r="C8" s="1" t="s">
        <v>26</v>
      </c>
      <c r="D8" s="1">
        <v>94</v>
      </c>
      <c r="E8" s="4">
        <v>177</v>
      </c>
      <c r="F8" s="1"/>
    </row>
    <row r="9" spans="1:6" outlineLevel="2" x14ac:dyDescent="0.45">
      <c r="A9" s="1"/>
      <c r="B9" s="5" t="s">
        <v>72</v>
      </c>
      <c r="C9" s="1"/>
      <c r="D9" s="1"/>
      <c r="E9" s="4">
        <f>SUBTOTAL(9,E4:E8)</f>
        <v>1806</v>
      </c>
      <c r="F9" s="1"/>
    </row>
    <row r="10" spans="1:6" outlineLevel="1" x14ac:dyDescent="0.45">
      <c r="A10" s="1"/>
      <c r="B10" s="5" t="s">
        <v>68</v>
      </c>
      <c r="C10" s="1"/>
      <c r="D10" s="1">
        <f>SUBTOTAL(4,D4:D8)</f>
        <v>94</v>
      </c>
      <c r="E10" s="4">
        <f>SUBTOTAL(4,E4:E8)</f>
        <v>914</v>
      </c>
      <c r="F10" s="1"/>
    </row>
    <row r="11" spans="1:6" outlineLevel="3" x14ac:dyDescent="0.45">
      <c r="A11" s="1" t="s">
        <v>22</v>
      </c>
      <c r="B11" s="1" t="s">
        <v>25</v>
      </c>
      <c r="C11" s="1" t="s">
        <v>26</v>
      </c>
      <c r="D11" s="1">
        <v>70</v>
      </c>
      <c r="E11" s="4">
        <v>433</v>
      </c>
      <c r="F11" s="1"/>
    </row>
    <row r="12" spans="1:6" outlineLevel="3" x14ac:dyDescent="0.45">
      <c r="A12" s="1" t="s">
        <v>29</v>
      </c>
      <c r="B12" s="1" t="s">
        <v>25</v>
      </c>
      <c r="C12" s="1" t="s">
        <v>28</v>
      </c>
      <c r="D12" s="1">
        <v>67</v>
      </c>
      <c r="E12" s="4">
        <v>76</v>
      </c>
      <c r="F12" s="1"/>
    </row>
    <row r="13" spans="1:6" outlineLevel="3" x14ac:dyDescent="0.45">
      <c r="A13" s="1" t="s">
        <v>31</v>
      </c>
      <c r="B13" s="1" t="s">
        <v>25</v>
      </c>
      <c r="C13" s="1" t="s">
        <v>30</v>
      </c>
      <c r="D13" s="1">
        <v>97</v>
      </c>
      <c r="E13" s="4">
        <v>790</v>
      </c>
      <c r="F13" s="1"/>
    </row>
    <row r="14" spans="1:6" outlineLevel="3" x14ac:dyDescent="0.45">
      <c r="A14" s="1" t="s">
        <v>31</v>
      </c>
      <c r="B14" s="1" t="s">
        <v>25</v>
      </c>
      <c r="C14" s="1" t="s">
        <v>24</v>
      </c>
      <c r="D14" s="1">
        <v>91</v>
      </c>
      <c r="E14" s="4">
        <v>356</v>
      </c>
      <c r="F14" s="1"/>
    </row>
    <row r="15" spans="1:6" outlineLevel="3" x14ac:dyDescent="0.45">
      <c r="A15" s="1" t="s">
        <v>34</v>
      </c>
      <c r="B15" s="1" t="s">
        <v>25</v>
      </c>
      <c r="C15" s="1" t="s">
        <v>28</v>
      </c>
      <c r="D15" s="1">
        <v>38</v>
      </c>
      <c r="E15" s="4">
        <v>874</v>
      </c>
      <c r="F15" s="1"/>
    </row>
    <row r="16" spans="1:6" outlineLevel="2" x14ac:dyDescent="0.45">
      <c r="A16" s="1"/>
      <c r="B16" s="5" t="s">
        <v>73</v>
      </c>
      <c r="C16" s="1"/>
      <c r="D16" s="1"/>
      <c r="E16" s="4">
        <f>SUBTOTAL(9,E11:E15)</f>
        <v>2529</v>
      </c>
      <c r="F16" s="1"/>
    </row>
    <row r="17" spans="1:6" outlineLevel="1" x14ac:dyDescent="0.45">
      <c r="A17" s="1"/>
      <c r="B17" s="5" t="s">
        <v>69</v>
      </c>
      <c r="C17" s="1"/>
      <c r="D17" s="1">
        <f>SUBTOTAL(4,D11:D15)</f>
        <v>97</v>
      </c>
      <c r="E17" s="4">
        <f>SUBTOTAL(4,E11:E15)</f>
        <v>874</v>
      </c>
      <c r="F17" s="1"/>
    </row>
    <row r="18" spans="1:6" outlineLevel="3" x14ac:dyDescent="0.45">
      <c r="A18" s="1" t="s">
        <v>22</v>
      </c>
      <c r="B18" s="1" t="s">
        <v>27</v>
      </c>
      <c r="C18" s="1" t="s">
        <v>28</v>
      </c>
      <c r="D18" s="1">
        <v>11</v>
      </c>
      <c r="E18" s="4">
        <v>362</v>
      </c>
      <c r="F18" s="1"/>
    </row>
    <row r="19" spans="1:6" outlineLevel="3" x14ac:dyDescent="0.45">
      <c r="A19" s="1" t="s">
        <v>22</v>
      </c>
      <c r="B19" s="1" t="s">
        <v>27</v>
      </c>
      <c r="C19" s="1" t="s">
        <v>28</v>
      </c>
      <c r="D19" s="1">
        <v>28</v>
      </c>
      <c r="E19" s="4">
        <v>2</v>
      </c>
      <c r="F19" s="1" t="s">
        <v>35</v>
      </c>
    </row>
    <row r="20" spans="1:6" outlineLevel="3" x14ac:dyDescent="0.45">
      <c r="A20" s="1" t="s">
        <v>29</v>
      </c>
      <c r="B20" s="1" t="s">
        <v>27</v>
      </c>
      <c r="C20" s="1" t="s">
        <v>30</v>
      </c>
      <c r="D20" s="1">
        <v>83</v>
      </c>
      <c r="E20" s="4">
        <v>471</v>
      </c>
      <c r="F20" s="1"/>
    </row>
    <row r="21" spans="1:6" outlineLevel="3" x14ac:dyDescent="0.45">
      <c r="A21" s="1" t="s">
        <v>29</v>
      </c>
      <c r="B21" s="1" t="s">
        <v>27</v>
      </c>
      <c r="C21" s="1" t="s">
        <v>24</v>
      </c>
      <c r="D21" s="1">
        <v>36</v>
      </c>
      <c r="E21" s="4">
        <v>750</v>
      </c>
      <c r="F21" s="1"/>
    </row>
    <row r="22" spans="1:6" outlineLevel="3" x14ac:dyDescent="0.45">
      <c r="A22" s="1" t="s">
        <v>31</v>
      </c>
      <c r="B22" s="1" t="s">
        <v>27</v>
      </c>
      <c r="C22" s="1" t="s">
        <v>26</v>
      </c>
      <c r="D22" s="1">
        <v>5</v>
      </c>
      <c r="E22" s="4">
        <v>336</v>
      </c>
      <c r="F22" s="1"/>
    </row>
    <row r="23" spans="1:6" outlineLevel="3" x14ac:dyDescent="0.45">
      <c r="A23" s="1" t="s">
        <v>33</v>
      </c>
      <c r="B23" s="1" t="s">
        <v>27</v>
      </c>
      <c r="C23" s="1" t="s">
        <v>30</v>
      </c>
      <c r="D23" s="1">
        <v>44</v>
      </c>
      <c r="E23" s="4">
        <v>65</v>
      </c>
      <c r="F23" s="1"/>
    </row>
    <row r="24" spans="1:6" outlineLevel="3" x14ac:dyDescent="0.45">
      <c r="A24" s="1" t="s">
        <v>33</v>
      </c>
      <c r="B24" s="1" t="s">
        <v>27</v>
      </c>
      <c r="C24" s="1" t="s">
        <v>24</v>
      </c>
      <c r="D24" s="1">
        <v>51</v>
      </c>
      <c r="E24" s="4">
        <v>908</v>
      </c>
      <c r="F24" s="1"/>
    </row>
    <row r="25" spans="1:6" outlineLevel="2" x14ac:dyDescent="0.45">
      <c r="A25" s="7"/>
      <c r="B25" s="8" t="s">
        <v>74</v>
      </c>
      <c r="C25" s="7"/>
      <c r="D25" s="7"/>
      <c r="E25" s="14">
        <f>SUBTOTAL(9,E18:E24)</f>
        <v>2894</v>
      </c>
      <c r="F25" s="7"/>
    </row>
    <row r="26" spans="1:6" outlineLevel="1" x14ac:dyDescent="0.45">
      <c r="A26" s="7"/>
      <c r="B26" s="8" t="s">
        <v>70</v>
      </c>
      <c r="C26" s="7"/>
      <c r="D26" s="7">
        <f>SUBTOTAL(4,D18:D24)</f>
        <v>83</v>
      </c>
      <c r="E26" s="14">
        <f>SUBTOTAL(4,E18:E24)</f>
        <v>908</v>
      </c>
      <c r="F26" s="7"/>
    </row>
    <row r="27" spans="1:6" x14ac:dyDescent="0.45">
      <c r="A27" s="7"/>
      <c r="B27" s="8" t="s">
        <v>75</v>
      </c>
      <c r="C27" s="7"/>
      <c r="D27" s="7"/>
      <c r="E27" s="14">
        <f>SUBTOTAL(9,E4:E24)</f>
        <v>7229</v>
      </c>
      <c r="F27" s="7"/>
    </row>
    <row r="28" spans="1:6" x14ac:dyDescent="0.45">
      <c r="A28" s="7"/>
      <c r="B28" s="8" t="s">
        <v>71</v>
      </c>
      <c r="C28" s="7"/>
      <c r="D28" s="7">
        <f>SUBTOTAL(4,D4:D24)</f>
        <v>97</v>
      </c>
      <c r="E28" s="14">
        <f>SUBTOTAL(4,E4:E24)</f>
        <v>914</v>
      </c>
      <c r="F28" s="7"/>
    </row>
  </sheetData>
  <sortState xmlns:xlrd2="http://schemas.microsoft.com/office/spreadsheetml/2017/richdata2" ref="A4:F24">
    <sortCondition ref="B4:B24"/>
  </sortState>
  <mergeCells count="1">
    <mergeCell ref="A1:F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21D4D-BDD2-4F08-9376-D68D36790950}">
  <dimension ref="A1:H24"/>
  <sheetViews>
    <sheetView workbookViewId="0">
      <selection sqref="A1:H1"/>
    </sheetView>
  </sheetViews>
  <sheetFormatPr defaultRowHeight="17" outlineLevelRow="3" x14ac:dyDescent="0.45"/>
  <cols>
    <col min="3" max="3" width="10.9140625" bestFit="1" customWidth="1"/>
    <col min="4" max="5" width="10.58203125" bestFit="1" customWidth="1"/>
    <col min="6" max="6" width="11.6640625" bestFit="1" customWidth="1"/>
    <col min="7" max="7" width="10.58203125" bestFit="1" customWidth="1"/>
    <col min="8" max="8" width="11.6640625" bestFit="1" customWidth="1"/>
  </cols>
  <sheetData>
    <row r="1" spans="1:8" ht="21" x14ac:dyDescent="0.45">
      <c r="A1" s="16" t="s">
        <v>36</v>
      </c>
      <c r="B1" s="16"/>
      <c r="C1" s="16"/>
      <c r="D1" s="16"/>
      <c r="E1" s="16"/>
      <c r="F1" s="16"/>
      <c r="G1" s="16"/>
      <c r="H1" s="16"/>
    </row>
    <row r="3" spans="1:8" x14ac:dyDescent="0.45">
      <c r="A3" s="3" t="s">
        <v>37</v>
      </c>
      <c r="B3" s="3" t="s">
        <v>38</v>
      </c>
      <c r="C3" s="3" t="s">
        <v>39</v>
      </c>
      <c r="D3" s="3" t="s">
        <v>40</v>
      </c>
      <c r="E3" s="3" t="s">
        <v>41</v>
      </c>
      <c r="F3" s="3" t="s">
        <v>42</v>
      </c>
      <c r="G3" s="3" t="s">
        <v>43</v>
      </c>
      <c r="H3" s="3" t="s">
        <v>44</v>
      </c>
    </row>
    <row r="4" spans="1:8" outlineLevel="3" x14ac:dyDescent="0.45">
      <c r="A4" s="1">
        <v>20016</v>
      </c>
      <c r="B4" s="1" t="s">
        <v>47</v>
      </c>
      <c r="C4" s="1" t="s">
        <v>48</v>
      </c>
      <c r="D4" s="4">
        <v>1800000</v>
      </c>
      <c r="E4" s="4">
        <f>D4*80%</f>
        <v>1440000</v>
      </c>
      <c r="F4" s="4">
        <f>D4+E4</f>
        <v>3240000</v>
      </c>
      <c r="G4" s="4">
        <f>F4*12%</f>
        <v>388800</v>
      </c>
      <c r="H4" s="4">
        <f>F4-G4</f>
        <v>2851200</v>
      </c>
    </row>
    <row r="5" spans="1:8" outlineLevel="3" x14ac:dyDescent="0.45">
      <c r="A5" s="1">
        <v>20023</v>
      </c>
      <c r="B5" s="1" t="s">
        <v>52</v>
      </c>
      <c r="C5" s="1" t="s">
        <v>48</v>
      </c>
      <c r="D5" s="4">
        <v>1900000</v>
      </c>
      <c r="E5" s="4">
        <f>D5*80%</f>
        <v>1520000</v>
      </c>
      <c r="F5" s="4">
        <f>D5+E5</f>
        <v>3420000</v>
      </c>
      <c r="G5" s="4">
        <f>F5*12%</f>
        <v>410400</v>
      </c>
      <c r="H5" s="4">
        <f>F5-G5</f>
        <v>3009600</v>
      </c>
    </row>
    <row r="6" spans="1:8" outlineLevel="3" x14ac:dyDescent="0.45">
      <c r="A6" s="1">
        <v>20027</v>
      </c>
      <c r="B6" s="1" t="s">
        <v>55</v>
      </c>
      <c r="C6" s="1" t="s">
        <v>48</v>
      </c>
      <c r="D6" s="4">
        <v>1950000</v>
      </c>
      <c r="E6" s="4">
        <f>D6*80%</f>
        <v>1560000</v>
      </c>
      <c r="F6" s="4">
        <f>D6+E6</f>
        <v>3510000</v>
      </c>
      <c r="G6" s="4">
        <f>F6*12%</f>
        <v>421200</v>
      </c>
      <c r="H6" s="4">
        <f>F6-G6</f>
        <v>3088800</v>
      </c>
    </row>
    <row r="7" spans="1:8" outlineLevel="3" x14ac:dyDescent="0.45">
      <c r="A7" s="1">
        <v>20038</v>
      </c>
      <c r="B7" s="1" t="s">
        <v>59</v>
      </c>
      <c r="C7" s="1" t="s">
        <v>48</v>
      </c>
      <c r="D7" s="4">
        <v>1850000</v>
      </c>
      <c r="E7" s="4">
        <f>D7*80%</f>
        <v>1480000</v>
      </c>
      <c r="F7" s="4">
        <f>D7+E7</f>
        <v>3330000</v>
      </c>
      <c r="G7" s="4">
        <f>F7*12%</f>
        <v>399600</v>
      </c>
      <c r="H7" s="4">
        <f>F7-G7</f>
        <v>2930400</v>
      </c>
    </row>
    <row r="8" spans="1:8" outlineLevel="2" x14ac:dyDescent="0.45">
      <c r="A8" s="1"/>
      <c r="B8" s="1"/>
      <c r="C8" s="5" t="s">
        <v>80</v>
      </c>
      <c r="D8" s="4"/>
      <c r="E8" s="4"/>
      <c r="F8" s="4">
        <f>SUBTOTAL(1,F4:F7)</f>
        <v>3375000</v>
      </c>
      <c r="G8" s="4">
        <f>SUBTOTAL(1,G4:G7)</f>
        <v>405000</v>
      </c>
      <c r="H8" s="4">
        <f>SUBTOTAL(1,H4:H7)</f>
        <v>2970000</v>
      </c>
    </row>
    <row r="9" spans="1:8" outlineLevel="1" x14ac:dyDescent="0.45">
      <c r="A9" s="1"/>
      <c r="B9" s="1"/>
      <c r="C9" s="15" t="s">
        <v>76</v>
      </c>
      <c r="D9" s="4"/>
      <c r="E9" s="4"/>
      <c r="F9" s="4">
        <f>SUBTOTAL(9,F4:F7)</f>
        <v>13500000</v>
      </c>
      <c r="G9" s="4">
        <f>SUBTOTAL(9,G4:G7)</f>
        <v>1620000</v>
      </c>
      <c r="H9" s="4">
        <f>SUBTOTAL(9,H4:H7)</f>
        <v>11880000</v>
      </c>
    </row>
    <row r="10" spans="1:8" outlineLevel="3" x14ac:dyDescent="0.45">
      <c r="A10" s="1">
        <v>20022</v>
      </c>
      <c r="B10" s="1" t="s">
        <v>50</v>
      </c>
      <c r="C10" s="1" t="s">
        <v>51</v>
      </c>
      <c r="D10" s="4">
        <v>3350000</v>
      </c>
      <c r="E10" s="4">
        <f>D10*80%</f>
        <v>2680000</v>
      </c>
      <c r="F10" s="4">
        <f>D10+E10</f>
        <v>6030000</v>
      </c>
      <c r="G10" s="4">
        <f>F10*12%</f>
        <v>723600</v>
      </c>
      <c r="H10" s="4">
        <f>F10-G10</f>
        <v>5306400</v>
      </c>
    </row>
    <row r="11" spans="1:8" outlineLevel="3" x14ac:dyDescent="0.45">
      <c r="A11" s="1">
        <v>20031</v>
      </c>
      <c r="B11" s="1" t="s">
        <v>56</v>
      </c>
      <c r="C11" s="1" t="s">
        <v>51</v>
      </c>
      <c r="D11" s="4">
        <v>3500000</v>
      </c>
      <c r="E11" s="4">
        <f>D11*80%</f>
        <v>2800000</v>
      </c>
      <c r="F11" s="4">
        <f>D11+E11</f>
        <v>6300000</v>
      </c>
      <c r="G11" s="4">
        <f>F11*12%</f>
        <v>756000</v>
      </c>
      <c r="H11" s="4">
        <f>F11-G11</f>
        <v>5544000</v>
      </c>
    </row>
    <row r="12" spans="1:8" outlineLevel="2" x14ac:dyDescent="0.45">
      <c r="A12" s="1"/>
      <c r="B12" s="1"/>
      <c r="C12" s="5" t="s">
        <v>81</v>
      </c>
      <c r="D12" s="4"/>
      <c r="E12" s="4"/>
      <c r="F12" s="4">
        <f>SUBTOTAL(1,F10:F11)</f>
        <v>6165000</v>
      </c>
      <c r="G12" s="4">
        <f>SUBTOTAL(1,G10:G11)</f>
        <v>739800</v>
      </c>
      <c r="H12" s="4">
        <f>SUBTOTAL(1,H10:H11)</f>
        <v>5425200</v>
      </c>
    </row>
    <row r="13" spans="1:8" outlineLevel="1" x14ac:dyDescent="0.45">
      <c r="A13" s="1"/>
      <c r="B13" s="1"/>
      <c r="C13" s="5" t="s">
        <v>77</v>
      </c>
      <c r="D13" s="4"/>
      <c r="E13" s="4"/>
      <c r="F13" s="4">
        <f>SUBTOTAL(9,F10:F11)</f>
        <v>12330000</v>
      </c>
      <c r="G13" s="4">
        <f>SUBTOTAL(9,G10:G11)</f>
        <v>1479600</v>
      </c>
      <c r="H13" s="4">
        <f>SUBTOTAL(9,H10:H11)</f>
        <v>10850400</v>
      </c>
    </row>
    <row r="14" spans="1:8" outlineLevel="3" x14ac:dyDescent="0.45">
      <c r="A14" s="1">
        <v>20024</v>
      </c>
      <c r="B14" s="1" t="s">
        <v>53</v>
      </c>
      <c r="C14" s="1" t="s">
        <v>54</v>
      </c>
      <c r="D14" s="4">
        <v>2350000</v>
      </c>
      <c r="E14" s="4">
        <f>D14*80%</f>
        <v>1880000</v>
      </c>
      <c r="F14" s="4">
        <f>D14+E14</f>
        <v>4230000</v>
      </c>
      <c r="G14" s="4">
        <f>F14*12%</f>
        <v>507600</v>
      </c>
      <c r="H14" s="4">
        <f>F14-G14</f>
        <v>3722400</v>
      </c>
    </row>
    <row r="15" spans="1:8" outlineLevel="3" x14ac:dyDescent="0.45">
      <c r="A15" s="1">
        <v>20036</v>
      </c>
      <c r="B15" s="1" t="s">
        <v>57</v>
      </c>
      <c r="C15" s="1" t="s">
        <v>54</v>
      </c>
      <c r="D15" s="4">
        <v>2200000</v>
      </c>
      <c r="E15" s="4">
        <f>D15*80%</f>
        <v>1760000</v>
      </c>
      <c r="F15" s="4">
        <f>D15+E15</f>
        <v>3960000</v>
      </c>
      <c r="G15" s="4">
        <f>F15*12%</f>
        <v>475200</v>
      </c>
      <c r="H15" s="4">
        <f>F15-G15</f>
        <v>3484800</v>
      </c>
    </row>
    <row r="16" spans="1:8" outlineLevel="3" x14ac:dyDescent="0.45">
      <c r="A16" s="1">
        <v>20037</v>
      </c>
      <c r="B16" s="1" t="s">
        <v>58</v>
      </c>
      <c r="C16" s="1" t="s">
        <v>54</v>
      </c>
      <c r="D16" s="4">
        <v>2200000</v>
      </c>
      <c r="E16" s="4">
        <f>D16*80%</f>
        <v>1760000</v>
      </c>
      <c r="F16" s="4">
        <f>D16+E16</f>
        <v>3960000</v>
      </c>
      <c r="G16" s="4">
        <f>F16*12%</f>
        <v>475200</v>
      </c>
      <c r="H16" s="4">
        <f>F16-G16</f>
        <v>3484800</v>
      </c>
    </row>
    <row r="17" spans="1:8" outlineLevel="2" x14ac:dyDescent="0.45">
      <c r="A17" s="1"/>
      <c r="B17" s="1"/>
      <c r="C17" s="5" t="s">
        <v>82</v>
      </c>
      <c r="D17" s="4"/>
      <c r="E17" s="4"/>
      <c r="F17" s="4">
        <f>SUBTOTAL(1,F14:F16)</f>
        <v>4050000</v>
      </c>
      <c r="G17" s="4">
        <f>SUBTOTAL(1,G14:G16)</f>
        <v>486000</v>
      </c>
      <c r="H17" s="4">
        <f>SUBTOTAL(1,H14:H16)</f>
        <v>3564000</v>
      </c>
    </row>
    <row r="18" spans="1:8" outlineLevel="1" x14ac:dyDescent="0.45">
      <c r="A18" s="1"/>
      <c r="B18" s="1"/>
      <c r="C18" s="5" t="s">
        <v>78</v>
      </c>
      <c r="D18" s="4"/>
      <c r="E18" s="4"/>
      <c r="F18" s="4">
        <f>SUBTOTAL(9,F14:F16)</f>
        <v>12150000</v>
      </c>
      <c r="G18" s="4">
        <f>SUBTOTAL(9,G14:G16)</f>
        <v>1458000</v>
      </c>
      <c r="H18" s="4">
        <f>SUBTOTAL(9,H14:H16)</f>
        <v>10692000</v>
      </c>
    </row>
    <row r="19" spans="1:8" outlineLevel="3" x14ac:dyDescent="0.45">
      <c r="A19" s="1">
        <v>20011</v>
      </c>
      <c r="B19" s="1" t="s">
        <v>45</v>
      </c>
      <c r="C19" s="1" t="s">
        <v>46</v>
      </c>
      <c r="D19" s="4">
        <v>2860000</v>
      </c>
      <c r="E19" s="4">
        <f>D19*80%</f>
        <v>2288000</v>
      </c>
      <c r="F19" s="4">
        <f>D19+E19</f>
        <v>5148000</v>
      </c>
      <c r="G19" s="4">
        <f>F19*12%</f>
        <v>617760</v>
      </c>
      <c r="H19" s="4">
        <f>F19-G19</f>
        <v>4530240</v>
      </c>
    </row>
    <row r="20" spans="1:8" outlineLevel="3" x14ac:dyDescent="0.45">
      <c r="A20" s="1">
        <v>20017</v>
      </c>
      <c r="B20" s="1" t="s">
        <v>49</v>
      </c>
      <c r="C20" s="1" t="s">
        <v>46</v>
      </c>
      <c r="D20" s="4">
        <v>2700000</v>
      </c>
      <c r="E20" s="4">
        <f>D20*80%</f>
        <v>2160000</v>
      </c>
      <c r="F20" s="4">
        <f>D20+E20</f>
        <v>4860000</v>
      </c>
      <c r="G20" s="4">
        <f>F20*12%</f>
        <v>583200</v>
      </c>
      <c r="H20" s="4">
        <f>F20-G20</f>
        <v>4276800</v>
      </c>
    </row>
    <row r="21" spans="1:8" outlineLevel="2" x14ac:dyDescent="0.45">
      <c r="A21" s="7"/>
      <c r="B21" s="7"/>
      <c r="C21" s="8" t="s">
        <v>83</v>
      </c>
      <c r="D21" s="14"/>
      <c r="E21" s="14"/>
      <c r="F21" s="14">
        <f>SUBTOTAL(1,F19:F20)</f>
        <v>5004000</v>
      </c>
      <c r="G21" s="14">
        <f>SUBTOTAL(1,G19:G20)</f>
        <v>600480</v>
      </c>
      <c r="H21" s="14">
        <f>SUBTOTAL(1,H19:H20)</f>
        <v>4403520</v>
      </c>
    </row>
    <row r="22" spans="1:8" outlineLevel="1" x14ac:dyDescent="0.45">
      <c r="A22" s="7"/>
      <c r="B22" s="7"/>
      <c r="C22" s="8" t="s">
        <v>79</v>
      </c>
      <c r="D22" s="14"/>
      <c r="E22" s="14"/>
      <c r="F22" s="14">
        <f>SUBTOTAL(9,F19:F20)</f>
        <v>10008000</v>
      </c>
      <c r="G22" s="14">
        <f>SUBTOTAL(9,G19:G20)</f>
        <v>1200960</v>
      </c>
      <c r="H22" s="14">
        <f>SUBTOTAL(9,H19:H20)</f>
        <v>8807040</v>
      </c>
    </row>
    <row r="23" spans="1:8" x14ac:dyDescent="0.45">
      <c r="A23" s="7"/>
      <c r="B23" s="7"/>
      <c r="C23" s="8" t="s">
        <v>63</v>
      </c>
      <c r="D23" s="14"/>
      <c r="E23" s="14"/>
      <c r="F23" s="14">
        <f>SUBTOTAL(1,F4:F20)</f>
        <v>4362545.4545454541</v>
      </c>
      <c r="G23" s="14">
        <f>SUBTOTAL(1,G4:G20)</f>
        <v>523505.45454545453</v>
      </c>
      <c r="H23" s="14">
        <f>SUBTOTAL(1,H4:H20)</f>
        <v>3839040</v>
      </c>
    </row>
    <row r="24" spans="1:8" x14ac:dyDescent="0.45">
      <c r="A24" s="7"/>
      <c r="B24" s="7"/>
      <c r="C24" s="8" t="s">
        <v>75</v>
      </c>
      <c r="D24" s="14"/>
      <c r="E24" s="14"/>
      <c r="F24" s="14">
        <f>SUBTOTAL(9,F4:F20)</f>
        <v>47988000</v>
      </c>
      <c r="G24" s="14">
        <f>SUBTOTAL(9,G4:G20)</f>
        <v>5758560</v>
      </c>
      <c r="H24" s="14">
        <f>SUBTOTAL(9,H4:H20)</f>
        <v>42229440</v>
      </c>
    </row>
  </sheetData>
  <sortState xmlns:xlrd2="http://schemas.microsoft.com/office/spreadsheetml/2017/richdata2" ref="A4:H20">
    <sortCondition descending="1" ref="C4:C20"/>
  </sortState>
  <mergeCells count="1">
    <mergeCell ref="A1:H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2023-09-26T05:16:07Z</dcterms:modified>
</cp:coreProperties>
</file>