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T:\03 교재관련\2025년판\실습파일\06_길벗컴활2급\03 기본모의고사\"/>
    </mc:Choice>
  </mc:AlternateContent>
  <xr:revisionPtr revIDLastSave="0" documentId="13_ncr:1_{DB9E481F-51B4-49A3-9EDB-937315996746}" xr6:coauthVersionLast="47" xr6:coauthVersionMax="47" xr10:uidLastSave="{00000000-0000-0000-0000-000000000000}"/>
  <bookViews>
    <workbookView xWindow="6260" yWindow="1210" windowWidth="27560" windowHeight="18870" xr2:uid="{1EA7D4BC-0E71-467A-81F4-8371BAA0CFDB}"/>
  </bookViews>
  <sheets>
    <sheet name="기본작업-1" sheetId="1" r:id="rId1"/>
    <sheet name="기본작업-2" sheetId="2" r:id="rId2"/>
    <sheet name="기본작업-3" sheetId="3" r:id="rId3"/>
    <sheet name="기본작업-4" sheetId="9" r:id="rId4"/>
    <sheet name="계산작업" sheetId="4" r:id="rId5"/>
    <sheet name="분석작업-1" sheetId="11" r:id="rId6"/>
    <sheet name="분석작업-2" sheetId="14" r:id="rId7"/>
    <sheet name="시나리오 요약" sheetId="13" r:id="rId8"/>
    <sheet name="분석작업-3" sheetId="10" r:id="rId9"/>
    <sheet name="매크로작업" sheetId="7" r:id="rId10"/>
    <sheet name="차트작업" sheetId="8" r:id="rId11"/>
  </sheets>
  <definedNames>
    <definedName name="_xlnm._FilterDatabase" localSheetId="3" hidden="1">'기본작업-4'!$A$3:$J$13</definedName>
    <definedName name="_xlnm.Criteria" localSheetId="3">'기본작업-4'!$A$16:$B$18</definedName>
    <definedName name="_xlnm.Extract" localSheetId="3">'기본작업-4'!$A$21:$J$21</definedName>
    <definedName name="목표매출액평균">'분석작업-3'!$H$14</definedName>
    <definedName name="목표수익률">'분석작업-3'!$B$3</definedName>
  </definedNames>
  <calcPr calcId="191029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7" l="1"/>
  <c r="E6" i="7"/>
  <c r="E7" i="7"/>
  <c r="E8" i="7"/>
  <c r="E9" i="7"/>
  <c r="E10" i="7"/>
  <c r="E11" i="7"/>
  <c r="E12" i="7"/>
  <c r="E4" i="7"/>
  <c r="E26" i="11" l="1"/>
  <c r="E22" i="11"/>
  <c r="E18" i="11"/>
  <c r="E14" i="11"/>
  <c r="E10" i="11"/>
  <c r="E6" i="11"/>
  <c r="E28" i="11" s="1"/>
  <c r="D27" i="11"/>
  <c r="D23" i="11"/>
  <c r="D19" i="11"/>
  <c r="D15" i="11"/>
  <c r="D11" i="11"/>
  <c r="D7" i="11"/>
  <c r="D29" i="11" s="1"/>
  <c r="C27" i="4" l="1"/>
  <c r="C28" i="4"/>
  <c r="C29" i="4"/>
  <c r="C30" i="4"/>
  <c r="C31" i="4"/>
  <c r="C32" i="4"/>
  <c r="C33" i="4"/>
  <c r="C26" i="4"/>
  <c r="H15" i="4"/>
  <c r="H16" i="4"/>
  <c r="H17" i="4"/>
  <c r="H18" i="4"/>
  <c r="H19" i="4"/>
  <c r="H20" i="4"/>
  <c r="H21" i="4"/>
  <c r="H14" i="4"/>
  <c r="D22" i="4"/>
  <c r="I4" i="4"/>
  <c r="I5" i="4"/>
  <c r="I6" i="4"/>
  <c r="I7" i="4"/>
  <c r="I8" i="4"/>
  <c r="I9" i="4"/>
  <c r="I10" i="4"/>
  <c r="I3" i="4"/>
  <c r="D4" i="4"/>
  <c r="D5" i="4"/>
  <c r="D6" i="4"/>
  <c r="D7" i="4"/>
  <c r="D8" i="4"/>
  <c r="D9" i="4"/>
  <c r="D10" i="4"/>
  <c r="D3" i="4"/>
  <c r="G14" i="10"/>
  <c r="H6" i="10"/>
  <c r="H7" i="10"/>
  <c r="H8" i="10"/>
  <c r="H9" i="10"/>
  <c r="H10" i="10"/>
  <c r="H11" i="10"/>
  <c r="H12" i="10"/>
  <c r="H13" i="10"/>
  <c r="H5" i="10"/>
  <c r="G6" i="10"/>
  <c r="G7" i="10"/>
  <c r="G8" i="10"/>
  <c r="G9" i="10"/>
  <c r="G10" i="10"/>
  <c r="G11" i="10"/>
  <c r="G12" i="10"/>
  <c r="G13" i="10"/>
  <c r="G5" i="10"/>
  <c r="F6" i="10"/>
  <c r="F7" i="10"/>
  <c r="F8" i="10"/>
  <c r="F9" i="10"/>
  <c r="F10" i="10"/>
  <c r="F11" i="10"/>
  <c r="F12" i="10"/>
  <c r="F13" i="10"/>
  <c r="F5" i="10"/>
  <c r="D6" i="10"/>
  <c r="D7" i="10"/>
  <c r="D8" i="10"/>
  <c r="D9" i="10"/>
  <c r="D10" i="10"/>
  <c r="D11" i="10"/>
  <c r="D12" i="10"/>
  <c r="D13" i="10"/>
  <c r="D5" i="10"/>
  <c r="H14" i="10" l="1"/>
  <c r="J5" i="9"/>
  <c r="J6" i="9"/>
  <c r="J7" i="9"/>
  <c r="J8" i="9"/>
  <c r="J9" i="9"/>
  <c r="J10" i="9"/>
  <c r="J11" i="9"/>
  <c r="J12" i="9"/>
  <c r="J13" i="9"/>
  <c r="J4" i="9"/>
  <c r="I5" i="9"/>
  <c r="I6" i="9"/>
  <c r="I7" i="9"/>
  <c r="I8" i="9"/>
  <c r="I9" i="9"/>
  <c r="I10" i="9"/>
  <c r="I11" i="9"/>
  <c r="I12" i="9"/>
  <c r="I13" i="9"/>
  <c r="I4" i="9"/>
  <c r="H5" i="9"/>
  <c r="H6" i="9"/>
  <c r="H7" i="9"/>
  <c r="H8" i="9"/>
  <c r="H9" i="9"/>
  <c r="H10" i="9"/>
  <c r="H11" i="9"/>
  <c r="H12" i="9"/>
  <c r="H13" i="9"/>
  <c r="H4" i="9"/>
  <c r="D5" i="9"/>
  <c r="E5" i="9"/>
  <c r="F5" i="9" s="1"/>
  <c r="D6" i="9"/>
  <c r="E6" i="9"/>
  <c r="F6" i="9" s="1"/>
  <c r="D7" i="9"/>
  <c r="E7" i="9"/>
  <c r="F7" i="9" s="1"/>
  <c r="D8" i="9"/>
  <c r="E8" i="9" s="1"/>
  <c r="F8" i="9" s="1"/>
  <c r="D9" i="9"/>
  <c r="E9" i="9"/>
  <c r="F9" i="9" s="1"/>
  <c r="D10" i="9"/>
  <c r="E10" i="9" s="1"/>
  <c r="F10" i="9" s="1"/>
  <c r="D11" i="9"/>
  <c r="E11" i="9" s="1"/>
  <c r="F11" i="9" s="1"/>
  <c r="D12" i="9"/>
  <c r="E12" i="9"/>
  <c r="F12" i="9"/>
  <c r="D13" i="9"/>
  <c r="E13" i="9"/>
  <c r="F13" i="9" s="1"/>
  <c r="F4" i="9"/>
  <c r="E4" i="9"/>
  <c r="D4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김종일</author>
  </authors>
  <commentList>
    <comment ref="C1" authorId="0" shapeId="0" xr:uid="{DC3EE453-64AB-4428-8040-35B575E99E8A}">
      <text>
        <r>
          <rPr>
            <b/>
            <sz val="9"/>
            <color indexed="81"/>
            <rFont val="Tahoma"/>
            <family val="2"/>
          </rPr>
          <t>2024</t>
        </r>
        <r>
          <rPr>
            <b/>
            <sz val="9"/>
            <color indexed="81"/>
            <rFont val="돋움"/>
            <family val="3"/>
            <charset val="129"/>
          </rPr>
          <t>년도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상반기</t>
        </r>
      </text>
    </comment>
  </commentList>
</comments>
</file>

<file path=xl/sharedStrings.xml><?xml version="1.0" encoding="utf-8"?>
<sst xmlns="http://schemas.openxmlformats.org/spreadsheetml/2006/main" count="395" uniqueCount="295">
  <si>
    <t>소속부서</t>
  </si>
  <si>
    <t>직위</t>
  </si>
  <si>
    <t>이름</t>
  </si>
  <si>
    <t>입사일</t>
  </si>
  <si>
    <t>거주지역</t>
  </si>
  <si>
    <t>ID</t>
  </si>
  <si>
    <t>기획조정실</t>
  </si>
  <si>
    <t>대리</t>
  </si>
  <si>
    <t>김혜란</t>
  </si>
  <si>
    <t>망원동</t>
  </si>
  <si>
    <t>Pass-T</t>
  </si>
  <si>
    <t>관리부</t>
  </si>
  <si>
    <t>과장</t>
  </si>
  <si>
    <t>최용석</t>
  </si>
  <si>
    <t>성산동</t>
  </si>
  <si>
    <t>Pass-K</t>
  </si>
  <si>
    <t>업무부</t>
  </si>
  <si>
    <t>사원</t>
  </si>
  <si>
    <t>정지혜</t>
  </si>
  <si>
    <t>서교동</t>
  </si>
  <si>
    <t>Pass-M</t>
  </si>
  <si>
    <t>윤광수</t>
  </si>
  <si>
    <t>합정동</t>
  </si>
  <si>
    <t>Sun-1</t>
  </si>
  <si>
    <t>최석훈</t>
  </si>
  <si>
    <t>공덕동</t>
  </si>
  <si>
    <t>Sun-2</t>
  </si>
  <si>
    <t>김명윤</t>
  </si>
  <si>
    <t>염리동</t>
  </si>
  <si>
    <t>Sun-3</t>
  </si>
  <si>
    <t>등산동아리 회원</t>
    <phoneticPr fontId="1" type="noConversion"/>
  </si>
  <si>
    <t xml:space="preserve">[표1] </t>
  </si>
  <si>
    <t>씽씽퀵 요금</t>
  </si>
  <si>
    <t>고객번호</t>
  </si>
  <si>
    <t>출발시간</t>
  </si>
  <si>
    <t>도착시간</t>
  </si>
  <si>
    <t>요금</t>
  </si>
  <si>
    <t>QK-3982</t>
  </si>
  <si>
    <t>QK-7411</t>
  </si>
  <si>
    <t>QK-5634</t>
  </si>
  <si>
    <t>QK-2286</t>
  </si>
  <si>
    <t>QK-3241</t>
  </si>
  <si>
    <t>QK-8104</t>
  </si>
  <si>
    <t>QK-6079</t>
  </si>
  <si>
    <t>QK-1668</t>
  </si>
  <si>
    <t>[표2]</t>
  </si>
  <si>
    <t>지원자 현황</t>
  </si>
  <si>
    <t>성명</t>
  </si>
  <si>
    <t>면접점수</t>
  </si>
  <si>
    <t>필기점수</t>
  </si>
  <si>
    <t>결과</t>
  </si>
  <si>
    <t>김한국</t>
  </si>
  <si>
    <t>정미애</t>
  </si>
  <si>
    <t>박진만</t>
  </si>
  <si>
    <t>강현태</t>
  </si>
  <si>
    <t>강수정</t>
  </si>
  <si>
    <t>최현우</t>
  </si>
  <si>
    <t>박미정</t>
  </si>
  <si>
    <t>안혁진</t>
  </si>
  <si>
    <t>[표3]</t>
  </si>
  <si>
    <t>성과급</t>
  </si>
  <si>
    <t>부서명</t>
  </si>
  <si>
    <t>전현수</t>
  </si>
  <si>
    <t>영업부</t>
  </si>
  <si>
    <t>김명훈</t>
  </si>
  <si>
    <t>하현호</t>
  </si>
  <si>
    <t>판매부</t>
  </si>
  <si>
    <t>강진성</t>
  </si>
  <si>
    <t>박희선</t>
  </si>
  <si>
    <t>엄정희</t>
  </si>
  <si>
    <t>이성식</t>
  </si>
  <si>
    <t>김영희</t>
  </si>
  <si>
    <t>판매부 대리 합계</t>
  </si>
  <si>
    <t>[표4]</t>
  </si>
  <si>
    <t xml:space="preserve">인사 자료 </t>
  </si>
  <si>
    <t>사원코드</t>
  </si>
  <si>
    <t>소속</t>
  </si>
  <si>
    <t>평점</t>
  </si>
  <si>
    <t>김진국</t>
  </si>
  <si>
    <t>Y120</t>
  </si>
  <si>
    <t>박동희</t>
  </si>
  <si>
    <t>K250</t>
  </si>
  <si>
    <t>서영수</t>
  </si>
  <si>
    <t>Y320</t>
  </si>
  <si>
    <t>강남영</t>
  </si>
  <si>
    <t>P952</t>
  </si>
  <si>
    <t>명운수</t>
  </si>
  <si>
    <t>G650</t>
  </si>
  <si>
    <t>경리부</t>
  </si>
  <si>
    <t>이성철</t>
  </si>
  <si>
    <t>K320</t>
  </si>
  <si>
    <t>김소연</t>
  </si>
  <si>
    <t>G623</t>
  </si>
  <si>
    <t>최고수</t>
  </si>
  <si>
    <t>Y012</t>
  </si>
  <si>
    <t>&lt;소속코드표&gt;</t>
  </si>
  <si>
    <t>Y</t>
  </si>
  <si>
    <t>K</t>
  </si>
  <si>
    <t>G</t>
  </si>
  <si>
    <t>P</t>
  </si>
  <si>
    <t>[표5]</t>
  </si>
  <si>
    <t>스태킹 챔피언십</t>
  </si>
  <si>
    <t>참가번호</t>
  </si>
  <si>
    <t>기록</t>
  </si>
  <si>
    <t>순위</t>
  </si>
  <si>
    <t>ST-0001</t>
  </si>
  <si>
    <t>ST-0002</t>
  </si>
  <si>
    <t>ST-0003</t>
  </si>
  <si>
    <t>ST-0004</t>
  </si>
  <si>
    <t>ST-0005</t>
  </si>
  <si>
    <t>ST-0006</t>
  </si>
  <si>
    <t>ST-0007</t>
  </si>
  <si>
    <t>ST-0008</t>
  </si>
  <si>
    <t>대한주식회사 인사고과</t>
    <phoneticPr fontId="1" type="noConversion"/>
  </si>
  <si>
    <t>근무와 판매실적</t>
  </si>
  <si>
    <t>근무기간</t>
  </si>
  <si>
    <t>상반기</t>
  </si>
  <si>
    <t>하반기</t>
  </si>
  <si>
    <t>실적평균</t>
  </si>
  <si>
    <t>평가</t>
  </si>
  <si>
    <t>최시아</t>
  </si>
  <si>
    <t>영업1부</t>
  </si>
  <si>
    <t>A</t>
  </si>
  <si>
    <t>이준형</t>
  </si>
  <si>
    <t>F</t>
  </si>
  <si>
    <t>김가연</t>
  </si>
  <si>
    <t>B</t>
  </si>
  <si>
    <t>홍철순</t>
  </si>
  <si>
    <t>영업2부</t>
  </si>
  <si>
    <t>D</t>
  </si>
  <si>
    <t>이정철</t>
  </si>
  <si>
    <t>C</t>
  </si>
  <si>
    <t>박아람</t>
  </si>
  <si>
    <t>류민순</t>
  </si>
  <si>
    <t>영업3부</t>
  </si>
  <si>
    <t>차범국</t>
  </si>
  <si>
    <t>김선길</t>
  </si>
  <si>
    <t>개인 성적 현황</t>
    <phoneticPr fontId="1" type="noConversion"/>
  </si>
  <si>
    <t>접수번호</t>
    <phoneticPr fontId="1" type="noConversion"/>
  </si>
  <si>
    <t>이름</t>
    <phoneticPr fontId="1" type="noConversion"/>
  </si>
  <si>
    <t>면접</t>
    <phoneticPr fontId="1" type="noConversion"/>
  </si>
  <si>
    <t>1학년</t>
    <phoneticPr fontId="1" type="noConversion"/>
  </si>
  <si>
    <t>내신등급</t>
    <phoneticPr fontId="1" type="noConversion"/>
  </si>
  <si>
    <t>2학년</t>
  </si>
  <si>
    <t>3학년</t>
  </si>
  <si>
    <t>태도</t>
    <phoneticPr fontId="1" type="noConversion"/>
  </si>
  <si>
    <t>적성</t>
    <phoneticPr fontId="1" type="noConversion"/>
  </si>
  <si>
    <t>이자경</t>
  </si>
  <si>
    <t>권기옥</t>
  </si>
  <si>
    <t>하판선</t>
  </si>
  <si>
    <t>김석민</t>
  </si>
  <si>
    <t>김민기</t>
  </si>
  <si>
    <t>추남철</t>
  </si>
  <si>
    <t>이민영</t>
  </si>
  <si>
    <t>서기준</t>
  </si>
  <si>
    <t>4분기 주식 거래현황</t>
    <phoneticPr fontId="1" type="noConversion"/>
  </si>
  <si>
    <t>종목명</t>
  </si>
  <si>
    <t>매수가</t>
  </si>
  <si>
    <t>보유량</t>
  </si>
  <si>
    <t>매수금액</t>
  </si>
  <si>
    <t>매수단가</t>
  </si>
  <si>
    <t>현재가</t>
  </si>
  <si>
    <t>현재금액</t>
  </si>
  <si>
    <t>평가손익</t>
  </si>
  <si>
    <t>수익률</t>
  </si>
  <si>
    <t>대한제약</t>
  </si>
  <si>
    <t>상공증권</t>
  </si>
  <si>
    <t>대연주조</t>
  </si>
  <si>
    <t>KR타이어</t>
  </si>
  <si>
    <t>대신전자</t>
  </si>
  <si>
    <t>진텔레콤</t>
  </si>
  <si>
    <t>가남경제</t>
  </si>
  <si>
    <t>대운건설</t>
  </si>
  <si>
    <t>우주넷</t>
  </si>
  <si>
    <t>블랙쇼핑</t>
  </si>
  <si>
    <t>매수
수수료</t>
    <phoneticPr fontId="1" type="noConversion"/>
  </si>
  <si>
    <t>주식 종목</t>
    <phoneticPr fontId="1" type="noConversion"/>
  </si>
  <si>
    <t>한국상사의 상품매입현황</t>
    <phoneticPr fontId="1" type="noConversion"/>
  </si>
  <si>
    <t>날짜</t>
  </si>
  <si>
    <t>상품명</t>
  </si>
  <si>
    <t>매입단가</t>
  </si>
  <si>
    <t>매입수량</t>
  </si>
  <si>
    <t>매입금액</t>
  </si>
  <si>
    <t>매입처</t>
  </si>
  <si>
    <t>동아상사</t>
  </si>
  <si>
    <t>새한상사</t>
  </si>
  <si>
    <t>장부</t>
  </si>
  <si>
    <t>롯데상사</t>
  </si>
  <si>
    <t>파일</t>
  </si>
  <si>
    <t>효성상사</t>
  </si>
  <si>
    <t>대우상사</t>
  </si>
  <si>
    <t>샤프</t>
  </si>
  <si>
    <t>삼성상사</t>
  </si>
  <si>
    <t>USB</t>
    <phoneticPr fontId="1" type="noConversion"/>
  </si>
  <si>
    <t>부서별 근무년수 현황</t>
    <phoneticPr fontId="1" type="noConversion"/>
  </si>
  <si>
    <t>부서</t>
  </si>
  <si>
    <t>생산부</t>
  </si>
  <si>
    <t>박도근</t>
  </si>
  <si>
    <t>이사</t>
  </si>
  <si>
    <t>최명도</t>
  </si>
  <si>
    <t>부장</t>
  </si>
  <si>
    <t>하정진</t>
  </si>
  <si>
    <t>김현국</t>
  </si>
  <si>
    <t>이경우</t>
  </si>
  <si>
    <t>강창우</t>
  </si>
  <si>
    <t>최현아</t>
  </si>
  <si>
    <t>박정식</t>
  </si>
  <si>
    <t>입사일자</t>
    <phoneticPr fontId="1" type="noConversion"/>
  </si>
  <si>
    <t>근무년수</t>
    <phoneticPr fontId="1" type="noConversion"/>
  </si>
  <si>
    <t>일일 가공 현황</t>
    <phoneticPr fontId="1" type="noConversion"/>
  </si>
  <si>
    <t>불량율</t>
  </si>
  <si>
    <t>불량율</t>
    <phoneticPr fontId="1" type="noConversion"/>
  </si>
  <si>
    <t>목표수익률</t>
    <phoneticPr fontId="1" type="noConversion"/>
  </si>
  <si>
    <t>가공일</t>
  </si>
  <si>
    <t>가공팀</t>
  </si>
  <si>
    <t>가공품명</t>
  </si>
  <si>
    <t>단위당원가</t>
  </si>
  <si>
    <t>가공수량</t>
  </si>
  <si>
    <t>가공원가</t>
  </si>
  <si>
    <t>목표매출액</t>
  </si>
  <si>
    <t>제조1팀</t>
  </si>
  <si>
    <t>오렌지가공</t>
  </si>
  <si>
    <t>제조2팀</t>
  </si>
  <si>
    <t>포도가공</t>
  </si>
  <si>
    <t>제조3팀</t>
  </si>
  <si>
    <t>사과가공</t>
  </si>
  <si>
    <t>평균</t>
  </si>
  <si>
    <t>평균</t>
    <phoneticPr fontId="1" type="noConversion"/>
  </si>
  <si>
    <t>중간고사 결과</t>
    <phoneticPr fontId="1" type="noConversion"/>
  </si>
  <si>
    <t>학생명</t>
  </si>
  <si>
    <t>국어</t>
  </si>
  <si>
    <t>영어</t>
  </si>
  <si>
    <t>수학</t>
  </si>
  <si>
    <t>김민재</t>
  </si>
  <si>
    <t>이다희</t>
  </si>
  <si>
    <t>홍진영</t>
  </si>
  <si>
    <t>최현준</t>
  </si>
  <si>
    <t>남보라</t>
  </si>
  <si>
    <t>김준용</t>
  </si>
  <si>
    <t>문경준</t>
  </si>
  <si>
    <t>신유아</t>
  </si>
  <si>
    <t>이석현</t>
  </si>
  <si>
    <t>경기 대리점 판매현황</t>
    <phoneticPr fontId="1" type="noConversion"/>
  </si>
  <si>
    <t>[단위 : 천원]</t>
    <phoneticPr fontId="1" type="noConversion"/>
  </si>
  <si>
    <t>품목번호</t>
  </si>
  <si>
    <t>품목</t>
  </si>
  <si>
    <t>목표량</t>
  </si>
  <si>
    <t>판매량</t>
  </si>
  <si>
    <t>판매액</t>
  </si>
  <si>
    <t>프린터</t>
  </si>
  <si>
    <t>스캐너</t>
  </si>
  <si>
    <t>직위</t>
    <phoneticPr fontId="1" type="noConversion"/>
  </si>
  <si>
    <t>종목명</t>
    <phoneticPr fontId="1" type="noConversion"/>
  </si>
  <si>
    <t>대*</t>
    <phoneticPr fontId="1" type="noConversion"/>
  </si>
  <si>
    <t>보유량</t>
    <phoneticPr fontId="1" type="noConversion"/>
  </si>
  <si>
    <t>&gt;=100</t>
    <phoneticPr fontId="1" type="noConversion"/>
  </si>
  <si>
    <t>파일 요약</t>
  </si>
  <si>
    <t>장부 요약</t>
  </si>
  <si>
    <t>샤프 요약</t>
  </si>
  <si>
    <t>USB 요약</t>
  </si>
  <si>
    <t>총합계</t>
  </si>
  <si>
    <t>파일 최대</t>
  </si>
  <si>
    <t>장부 최대</t>
  </si>
  <si>
    <t>샤프 최대</t>
  </si>
  <si>
    <t>USB 최대</t>
  </si>
  <si>
    <t>전체 최대값</t>
  </si>
  <si>
    <t>용지(A3)</t>
    <phoneticPr fontId="1" type="noConversion"/>
  </si>
  <si>
    <t>용지(A4)</t>
    <phoneticPr fontId="1" type="noConversion"/>
  </si>
  <si>
    <t>샤프</t>
    <phoneticPr fontId="1" type="noConversion"/>
  </si>
  <si>
    <t>용지(A4) 요약</t>
  </si>
  <si>
    <t>용지(A3) 요약</t>
  </si>
  <si>
    <t>용지(A4) 최대</t>
  </si>
  <si>
    <t>용지(A3) 최대</t>
  </si>
  <si>
    <t>(모두)</t>
  </si>
  <si>
    <t>행 레이블</t>
  </si>
  <si>
    <t>열 레이블</t>
  </si>
  <si>
    <t>최소 : 근무년수</t>
  </si>
  <si>
    <t>목표수익률</t>
  </si>
  <si>
    <t>목표매출액평균</t>
  </si>
  <si>
    <t>목표수익률증가1</t>
  </si>
  <si>
    <t>목표수익률증가3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</si>
  <si>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</si>
  <si>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</si>
  <si>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</si>
  <si>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</si>
  <si>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</si>
  <si>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</si>
  <si>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</si>
  <si>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마우스</t>
    <phoneticPr fontId="1" type="noConversion"/>
  </si>
  <si>
    <t>키보드</t>
    <phoneticPr fontId="1" type="noConversion"/>
  </si>
  <si>
    <t>모니터</t>
    <phoneticPr fontId="1" type="noConversion"/>
  </si>
  <si>
    <t>스피커</t>
    <phoneticPr fontId="1" type="noConversion"/>
  </si>
  <si>
    <t>CPU</t>
    <phoneticPr fontId="1" type="noConversion"/>
  </si>
  <si>
    <t>SSD</t>
    <phoneticPr fontId="1" type="noConversion"/>
  </si>
  <si>
    <t>목표수익률증가2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</si>
</sst>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#,##0_ "/>
    <numFmt numFmtId="177" formatCode="m&quot;월&quot;\ d&quot;일&quot;;@"/>
    <numFmt numFmtId="178" formatCode="mm\/dd"/>
    <numFmt numFmtId="179" formatCode="0.0"/>
    <numFmt numFmtId="180" formatCode="@&quot;등급&quot;"/>
  </numFmts>
  <fonts count="1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5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9" fontId="0" fillId="0" borderId="1" xfId="0" applyNumberFormat="1" applyBorder="1" applyAlignment="1">
      <alignment horizontal="center" vertical="center"/>
    </xf>
    <xf numFmtId="176" fontId="0" fillId="0" borderId="1" xfId="1" applyNumberFormat="1" applyFont="1" applyBorder="1" applyAlignment="1">
      <alignment horizontal="right"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180" fontId="0" fillId="0" borderId="1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79" fontId="0" fillId="0" borderId="6" xfId="0" applyNumberFormat="1" applyBorder="1" applyAlignment="1">
      <alignment horizontal="center" vertical="center"/>
    </xf>
    <xf numFmtId="180" fontId="0" fillId="0" borderId="6" xfId="0" applyNumberForma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11" fillId="3" borderId="9" xfId="0" applyFont="1" applyFill="1" applyBorder="1" applyAlignment="1">
      <alignment horizontal="left" vertical="center"/>
    </xf>
    <xf numFmtId="0" fontId="10" fillId="3" borderId="7" xfId="0" applyFont="1" applyFill="1" applyBorder="1" applyAlignment="1">
      <alignment horizontal="left" vertical="center"/>
    </xf>
    <xf numFmtId="0" fontId="11" fillId="3" borderId="7" xfId="0" applyFont="1" applyFill="1" applyBorder="1" applyAlignment="1">
      <alignment horizontal="left" vertical="center"/>
    </xf>
    <xf numFmtId="0" fontId="13" fillId="4" borderId="3" xfId="0" applyFont="1" applyFill="1" applyBorder="1" applyAlignment="1">
      <alignment horizontal="left" vertical="center"/>
    </xf>
    <xf numFmtId="0" fontId="14" fillId="4" borderId="3" xfId="0" applyFont="1" applyFill="1" applyBorder="1" applyAlignment="1">
      <alignment horizontal="left" vertical="center"/>
    </xf>
    <xf numFmtId="0" fontId="12" fillId="4" borderId="8" xfId="0" applyFont="1" applyFill="1" applyBorder="1" applyAlignment="1">
      <alignment horizontal="left" vertical="center"/>
    </xf>
    <xf numFmtId="0" fontId="10" fillId="3" borderId="7" xfId="0" applyFont="1" applyFill="1" applyBorder="1" applyAlignment="1">
      <alignment horizontal="right" vertical="center"/>
    </xf>
    <xf numFmtId="0" fontId="10" fillId="3" borderId="9" xfId="0" applyFont="1" applyFill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41" fontId="0" fillId="0" borderId="8" xfId="0" applyNumberFormat="1" applyFill="1" applyBorder="1" applyAlignment="1">
      <alignment vertical="center"/>
    </xf>
    <xf numFmtId="0" fontId="0" fillId="0" borderId="3" xfId="0" applyFill="1" applyBorder="1" applyAlignment="1">
      <alignment vertical="center"/>
    </xf>
    <xf numFmtId="0" fontId="12" fillId="4" borderId="0" xfId="0" applyFont="1" applyFill="1" applyBorder="1" applyAlignment="1">
      <alignment horizontal="left" vertical="center"/>
    </xf>
    <xf numFmtId="9" fontId="0" fillId="5" borderId="0" xfId="0" applyNumberFormat="1" applyFill="1" applyBorder="1" applyAlignment="1">
      <alignment vertical="center"/>
    </xf>
    <xf numFmtId="0" fontId="15" fillId="0" borderId="0" xfId="0" applyFont="1" applyFill="1" applyBorder="1" applyAlignment="1">
      <alignment vertical="center"/>
    </xf>
    <xf numFmtId="0" fontId="15" fillId="0" borderId="0" xfId="0" applyFont="1" applyFill="1" applyBorder="1" applyAlignment="1">
      <alignment vertical="top" wrapText="1"/>
    </xf>
    <xf numFmtId="0" fontId="0" fillId="0" borderId="0" xfId="0" applyNumberForma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2">
    <dxf>
      <font>
        <color rgb="FF00B050"/>
      </font>
      <fill>
        <patternFill>
          <bgColor rgb="FFFF0000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600" b="1"/>
              <a:t>전자제품 판매현황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차트작업!$D$3</c:f>
              <c:strCache>
                <c:ptCount val="1"/>
                <c:pt idx="0">
                  <c:v>판매량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차트작업!$B$4:$B$11</c:f>
              <c:strCache>
                <c:ptCount val="8"/>
                <c:pt idx="0">
                  <c:v>프린터</c:v>
                </c:pt>
                <c:pt idx="1">
                  <c:v>마우스</c:v>
                </c:pt>
                <c:pt idx="2">
                  <c:v>키보드</c:v>
                </c:pt>
                <c:pt idx="3">
                  <c:v>SSD</c:v>
                </c:pt>
                <c:pt idx="4">
                  <c:v>스캐너</c:v>
                </c:pt>
                <c:pt idx="5">
                  <c:v>모니터</c:v>
                </c:pt>
                <c:pt idx="6">
                  <c:v>스피커</c:v>
                </c:pt>
                <c:pt idx="7">
                  <c:v>CPU</c:v>
                </c:pt>
              </c:strCache>
            </c:strRef>
          </c:cat>
          <c:val>
            <c:numRef>
              <c:f>차트작업!$D$4:$D$11</c:f>
              <c:numCache>
                <c:formatCode>General</c:formatCode>
                <c:ptCount val="8"/>
                <c:pt idx="0">
                  <c:v>7</c:v>
                </c:pt>
                <c:pt idx="1">
                  <c:v>2</c:v>
                </c:pt>
                <c:pt idx="2">
                  <c:v>15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10</c:v>
                </c:pt>
                <c:pt idx="7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D3-4671-A5EE-3DE5EE0CF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7848127"/>
        <c:axId val="317848607"/>
      </c:barChart>
      <c:lineChart>
        <c:grouping val="standar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목표량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차트작업!$B$4:$B$11</c:f>
              <c:strCache>
                <c:ptCount val="8"/>
                <c:pt idx="0">
                  <c:v>프린터</c:v>
                </c:pt>
                <c:pt idx="1">
                  <c:v>마우스</c:v>
                </c:pt>
                <c:pt idx="2">
                  <c:v>키보드</c:v>
                </c:pt>
                <c:pt idx="3">
                  <c:v>SSD</c:v>
                </c:pt>
                <c:pt idx="4">
                  <c:v>스캐너</c:v>
                </c:pt>
                <c:pt idx="5">
                  <c:v>모니터</c:v>
                </c:pt>
                <c:pt idx="6">
                  <c:v>스피커</c:v>
                </c:pt>
                <c:pt idx="7">
                  <c:v>CPU</c:v>
                </c:pt>
              </c:strCache>
            </c:strRef>
          </c:cat>
          <c:val>
            <c:numRef>
              <c:f>차트작업!$C$4:$C$11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11</c:v>
                </c:pt>
                <c:pt idx="3">
                  <c:v>14</c:v>
                </c:pt>
                <c:pt idx="4">
                  <c:v>7</c:v>
                </c:pt>
                <c:pt idx="5">
                  <c:v>17</c:v>
                </c:pt>
                <c:pt idx="6">
                  <c:v>12</c:v>
                </c:pt>
                <c:pt idx="7">
                  <c:v>19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AD3-4671-A5EE-3DE5EE0CF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848127"/>
        <c:axId val="317848607"/>
      </c:lineChart>
      <c:catAx>
        <c:axId val="317848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17848607"/>
        <c:crosses val="autoZero"/>
        <c:auto val="1"/>
        <c:lblAlgn val="ctr"/>
        <c:lblOffset val="100"/>
        <c:noMultiLvlLbl val="0"/>
      </c:catAx>
      <c:valAx>
        <c:axId val="31784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17848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bg1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0070C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6</xdr:row>
      <xdr:rowOff>0</xdr:rowOff>
    </xdr:from>
    <xdr:to>
      <xdr:col>8</xdr:col>
      <xdr:colOff>0</xdr:colOff>
      <xdr:row>9</xdr:row>
      <xdr:rowOff>0</xdr:rowOff>
    </xdr:to>
    <xdr:sp macro="[0]!소수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3962400" y="1346200"/>
          <a:ext cx="1320800" cy="6477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소수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8</xdr:col>
      <xdr:colOff>0</xdr:colOff>
      <xdr:row>29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0.23798</cdr:x>
      <cdr:y>0.30882</cdr:y>
    </cdr:from>
    <cdr:to>
      <cdr:x>0.40625</cdr:x>
      <cdr:y>0.38864</cdr:y>
    </cdr:to>
    <cdr:sp macro="" textlink="">
      <cdr:nvSpPr>
        <cdr:cNvPr id="3" name="설명선: 굽은 이중선 2">
          <a:extLst xmlns:a="http://schemas.openxmlformats.org/drawingml/2006/main">
            <a:ext uri="{FF2B5EF4-FFF2-40B4-BE49-F238E27FC236}">
              <a16:creationId xmlns:a16="http://schemas.microsoft.com/office/drawing/2014/main" id="{F39F1AAF-788E-3CAB-9B2E-0A07C8DF5108}"/>
            </a:ext>
          </a:extLst>
        </cdr:cNvPr>
        <cdr:cNvSpPr/>
      </cdr:nvSpPr>
      <cdr:spPr>
        <a:xfrm xmlns:a="http://schemas.openxmlformats.org/drawingml/2006/main">
          <a:off x="1257300" y="1066800"/>
          <a:ext cx="889000" cy="275717"/>
        </a:xfrm>
        <a:prstGeom xmlns:a="http://schemas.openxmlformats.org/drawingml/2006/main" prst="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585096"/>
            <a:gd name="adj8" fmla="val -4762"/>
          </a:avLst>
        </a:prstGeom>
        <a:solidFill xmlns:a="http://schemas.openxmlformats.org/drawingml/2006/main">
          <a:schemeClr val="bg1"/>
        </a:solidFill>
        <a:ln xmlns:a="http://schemas.openxmlformats.org/drawingml/2006/main">
          <a:solidFill>
            <a:srgbClr val="FF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>
          <a:spAutoFit/>
        </a:bodyPr>
        <a:lstStyle xmlns:a="http://schemas.openxmlformats.org/drawingml/2006/main"/>
        <a:p xmlns:a="http://schemas.openxmlformats.org/drawingml/2006/main">
          <a:r>
            <a:rPr lang="ko-KR" altLang="en-US">
              <a:solidFill>
                <a:schemeClr val="tx1"/>
              </a:solidFill>
              <a:latin typeface="굴림" panose="020B0600000101010101" pitchFamily="50" charset="-127"/>
              <a:ea typeface="굴림" panose="020B0600000101010101" pitchFamily="50" charset="-127"/>
            </a:rPr>
            <a:t>최저판매량</a:t>
          </a:r>
          <a:endParaRPr lang="ko-KR">
            <a:solidFill>
              <a:schemeClr val="tx1"/>
            </a:solidFill>
            <a:latin typeface="굴림" panose="020B0600000101010101" pitchFamily="50" charset="-127"/>
            <a:ea typeface="굴림" panose="020B0600000101010101" pitchFamily="50" charset="-127"/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404.73108553241" createdVersion="7" refreshedVersion="7" minRefreshableVersion="3" recordCount="8" xr:uid="{1814321B-7AEF-4A8D-A7CC-C657FDB67983}">
  <cacheSource type="worksheet">
    <worksheetSource ref="A3:E11" sheet="분석작업-2"/>
  </cacheSource>
  <cacheFields count="5">
    <cacheField name="부서" numFmtId="0">
      <sharedItems count="2">
        <s v="생산부"/>
        <s v="영업부"/>
      </sharedItems>
    </cacheField>
    <cacheField name="성명" numFmtId="0">
      <sharedItems count="8">
        <s v="박도근"/>
        <s v="최명도"/>
        <s v="하정진"/>
        <s v="김현국"/>
        <s v="이경우"/>
        <s v="강창우"/>
        <s v="최현아"/>
        <s v="박정식"/>
      </sharedItems>
    </cacheField>
    <cacheField name="입사일자" numFmtId="14">
      <sharedItems containsSemiMixedTypes="0" containsNonDate="0" containsDate="1" containsString="0" minDate="1993-03-23T00:00:00" maxDate="2022-05-23T00:00:00"/>
    </cacheField>
    <cacheField name="직위" numFmtId="0">
      <sharedItems count="4">
        <s v="이사"/>
        <s v="부장"/>
        <s v="과장"/>
        <s v="사원"/>
      </sharedItems>
    </cacheField>
    <cacheField name="근무년수" numFmtId="0">
      <sharedItems containsSemiMixedTypes="0" containsString="0" containsNumber="1" containsInteger="1" minValue="1" maxValue="3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x v="0"/>
    <d v="1993-03-23T00:00:00"/>
    <x v="0"/>
    <n v="30"/>
  </r>
  <r>
    <x v="1"/>
    <x v="1"/>
    <d v="2005-09-22T00:00:00"/>
    <x v="1"/>
    <n v="18"/>
  </r>
  <r>
    <x v="0"/>
    <x v="2"/>
    <d v="2013-10-03T00:00:00"/>
    <x v="2"/>
    <n v="10"/>
  </r>
  <r>
    <x v="1"/>
    <x v="3"/>
    <d v="2021-09-12T00:00:00"/>
    <x v="3"/>
    <n v="2"/>
  </r>
  <r>
    <x v="1"/>
    <x v="4"/>
    <d v="2006-09-23T00:00:00"/>
    <x v="1"/>
    <n v="17"/>
  </r>
  <r>
    <x v="0"/>
    <x v="5"/>
    <d v="2022-05-22T00:00:00"/>
    <x v="3"/>
    <n v="1"/>
  </r>
  <r>
    <x v="1"/>
    <x v="6"/>
    <d v="2012-09-11T00:00:00"/>
    <x v="2"/>
    <n v="11"/>
  </r>
  <r>
    <x v="0"/>
    <x v="7"/>
    <d v="2004-10-06T00:00:00"/>
    <x v="1"/>
    <n v="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9C5AC1-F985-42ED-ABDD-3D7A46F93C17}" name="피벗 테이블1" cacheId="0" applyNumberFormats="0" applyBorderFormats="0" applyFontFormats="0" applyPatternFormats="0" applyAlignmentFormats="0" applyWidthHeightFormats="1" dataCaption="값" updatedVersion="7" minRefreshableVersion="3" useAutoFormatting="1" rowGrandTotals="0" colGrandTotals="0" itemPrintTitles="1" createdVersion="7" indent="0" outline="1" outlineData="1" multipleFieldFilters="0">
  <location ref="A16:E19" firstHeaderRow="1" firstDataRow="2" firstDataCol="1" rowPageCount="1" colPageCount="1"/>
  <pivotFields count="5">
    <pivotField axis="axisRow" showAll="0">
      <items count="3">
        <item x="0"/>
        <item x="1"/>
        <item t="default"/>
      </items>
    </pivotField>
    <pivotField axis="axisPage" showAll="0">
      <items count="9">
        <item x="5"/>
        <item x="3"/>
        <item x="0"/>
        <item x="7"/>
        <item x="4"/>
        <item x="1"/>
        <item x="6"/>
        <item x="2"/>
        <item t="default"/>
      </items>
    </pivotField>
    <pivotField numFmtId="14" showAll="0"/>
    <pivotField axis="axisCol" showAll="0">
      <items count="5">
        <item x="2"/>
        <item x="1"/>
        <item x="3"/>
        <item x="0"/>
        <item t="default"/>
      </items>
    </pivotField>
    <pivotField dataField="1" showAll="0"/>
  </pivotFields>
  <rowFields count="1">
    <field x="0"/>
  </rowFields>
  <rowItems count="2">
    <i>
      <x/>
    </i>
    <i>
      <x v="1"/>
    </i>
  </rowItems>
  <colFields count="1">
    <field x="3"/>
  </colFields>
  <colItems count="4">
    <i>
      <x/>
    </i>
    <i>
      <x v="1"/>
    </i>
    <i>
      <x v="2"/>
    </i>
    <i>
      <x v="3"/>
    </i>
  </colItems>
  <pageFields count="1">
    <pageField fld="1" hier="-1"/>
  </pageFields>
  <dataFields count="1">
    <dataField name="최소 : 근무년수" fld="4" subtotal="min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dimension ref="A1:F9"/>
  <sheetViews>
    <sheetView tabSelected="1" workbookViewId="0"/>
  </sheetViews>
  <sheetFormatPr defaultRowHeight="17" x14ac:dyDescent="0.45"/>
  <cols>
    <col min="1" max="1" width="10.4140625" bestFit="1" customWidth="1"/>
    <col min="4" max="4" width="10.75" bestFit="1" customWidth="1"/>
  </cols>
  <sheetData>
    <row r="1" spans="1:6" x14ac:dyDescent="0.45">
      <c r="A1" t="s">
        <v>30</v>
      </c>
    </row>
    <row r="3" spans="1:6" x14ac:dyDescent="0.45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</row>
    <row r="4" spans="1:6" x14ac:dyDescent="0.45">
      <c r="A4" s="1" t="s">
        <v>6</v>
      </c>
      <c r="B4" s="1" t="s">
        <v>7</v>
      </c>
      <c r="C4" s="1" t="s">
        <v>8</v>
      </c>
      <c r="D4" s="2">
        <v>43525</v>
      </c>
      <c r="E4" s="1" t="s">
        <v>9</v>
      </c>
      <c r="F4" s="1" t="s">
        <v>10</v>
      </c>
    </row>
    <row r="5" spans="1:6" x14ac:dyDescent="0.45">
      <c r="A5" s="1" t="s">
        <v>11</v>
      </c>
      <c r="B5" s="1" t="s">
        <v>12</v>
      </c>
      <c r="C5" s="1" t="s">
        <v>13</v>
      </c>
      <c r="D5" s="2">
        <v>42796</v>
      </c>
      <c r="E5" s="1" t="s">
        <v>14</v>
      </c>
      <c r="F5" s="1" t="s">
        <v>15</v>
      </c>
    </row>
    <row r="6" spans="1:6" x14ac:dyDescent="0.45">
      <c r="A6" s="1" t="s">
        <v>16</v>
      </c>
      <c r="B6" s="1" t="s">
        <v>17</v>
      </c>
      <c r="C6" s="1" t="s">
        <v>18</v>
      </c>
      <c r="D6" s="2">
        <v>44291</v>
      </c>
      <c r="E6" s="1" t="s">
        <v>19</v>
      </c>
      <c r="F6" s="1" t="s">
        <v>20</v>
      </c>
    </row>
    <row r="7" spans="1:6" x14ac:dyDescent="0.45">
      <c r="A7" s="1" t="s">
        <v>11</v>
      </c>
      <c r="B7" s="1" t="s">
        <v>12</v>
      </c>
      <c r="C7" s="1" t="s">
        <v>21</v>
      </c>
      <c r="D7" s="2">
        <v>42663</v>
      </c>
      <c r="E7" s="1" t="s">
        <v>22</v>
      </c>
      <c r="F7" s="1" t="s">
        <v>23</v>
      </c>
    </row>
    <row r="8" spans="1:6" x14ac:dyDescent="0.45">
      <c r="A8" s="1" t="s">
        <v>11</v>
      </c>
      <c r="B8" s="1" t="s">
        <v>7</v>
      </c>
      <c r="C8" s="1" t="s">
        <v>24</v>
      </c>
      <c r="D8" s="2">
        <v>43394</v>
      </c>
      <c r="E8" s="1" t="s">
        <v>25</v>
      </c>
      <c r="F8" s="1" t="s">
        <v>26</v>
      </c>
    </row>
    <row r="9" spans="1:6" x14ac:dyDescent="0.45">
      <c r="A9" s="1" t="s">
        <v>6</v>
      </c>
      <c r="B9" s="1" t="s">
        <v>17</v>
      </c>
      <c r="C9" s="1" t="s">
        <v>27</v>
      </c>
      <c r="D9" s="2">
        <v>44856</v>
      </c>
      <c r="E9" s="1" t="s">
        <v>28</v>
      </c>
      <c r="F9" s="1" t="s">
        <v>29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dimension ref="A1:G13"/>
  <sheetViews>
    <sheetView workbookViewId="0"/>
  </sheetViews>
  <sheetFormatPr defaultRowHeight="17" x14ac:dyDescent="0.45"/>
  <sheetData>
    <row r="1" spans="1:7" x14ac:dyDescent="0.45">
      <c r="C1" t="s">
        <v>113</v>
      </c>
    </row>
    <row r="3" spans="1:7" x14ac:dyDescent="0.45">
      <c r="A3" s="49" t="s">
        <v>2</v>
      </c>
      <c r="B3" s="49" t="s">
        <v>61</v>
      </c>
      <c r="C3" s="49" t="s">
        <v>114</v>
      </c>
      <c r="D3" s="49"/>
      <c r="E3" s="49"/>
      <c r="F3" s="49"/>
      <c r="G3" s="49"/>
    </row>
    <row r="4" spans="1:7" ht="17.5" thickBot="1" x14ac:dyDescent="0.5">
      <c r="A4" s="50"/>
      <c r="B4" s="50"/>
      <c r="C4" s="24" t="s">
        <v>115</v>
      </c>
      <c r="D4" s="24" t="s">
        <v>116</v>
      </c>
      <c r="E4" s="24" t="s">
        <v>117</v>
      </c>
      <c r="F4" s="24" t="s">
        <v>118</v>
      </c>
      <c r="G4" s="24" t="s">
        <v>119</v>
      </c>
    </row>
    <row r="5" spans="1:7" ht="17.5" thickTop="1" x14ac:dyDescent="0.45">
      <c r="A5" s="21" t="s">
        <v>120</v>
      </c>
      <c r="B5" s="21" t="s">
        <v>121</v>
      </c>
      <c r="C5" s="21">
        <v>18</v>
      </c>
      <c r="D5" s="21">
        <v>96</v>
      </c>
      <c r="E5" s="21">
        <v>85</v>
      </c>
      <c r="F5" s="22">
        <v>90.5</v>
      </c>
      <c r="G5" s="23" t="s">
        <v>122</v>
      </c>
    </row>
    <row r="6" spans="1:7" x14ac:dyDescent="0.45">
      <c r="A6" s="5" t="s">
        <v>123</v>
      </c>
      <c r="B6" s="5" t="s">
        <v>121</v>
      </c>
      <c r="C6" s="5">
        <v>5</v>
      </c>
      <c r="D6" s="5">
        <v>64</v>
      </c>
      <c r="E6" s="5">
        <v>8</v>
      </c>
      <c r="F6" s="19">
        <v>36</v>
      </c>
      <c r="G6" s="20" t="s">
        <v>124</v>
      </c>
    </row>
    <row r="7" spans="1:7" x14ac:dyDescent="0.45">
      <c r="A7" s="5" t="s">
        <v>125</v>
      </c>
      <c r="B7" s="5" t="s">
        <v>121</v>
      </c>
      <c r="C7" s="5">
        <v>12</v>
      </c>
      <c r="D7" s="5">
        <v>85</v>
      </c>
      <c r="E7" s="5">
        <v>100</v>
      </c>
      <c r="F7" s="19">
        <v>92.5</v>
      </c>
      <c r="G7" s="20" t="s">
        <v>126</v>
      </c>
    </row>
    <row r="8" spans="1:7" x14ac:dyDescent="0.45">
      <c r="A8" s="5" t="s">
        <v>127</v>
      </c>
      <c r="B8" s="5" t="s">
        <v>128</v>
      </c>
      <c r="C8" s="5">
        <v>7</v>
      </c>
      <c r="D8" s="5">
        <v>66</v>
      </c>
      <c r="E8" s="5">
        <v>87</v>
      </c>
      <c r="F8" s="19">
        <v>76.5</v>
      </c>
      <c r="G8" s="20" t="s">
        <v>129</v>
      </c>
    </row>
    <row r="9" spans="1:7" x14ac:dyDescent="0.45">
      <c r="A9" s="5" t="s">
        <v>130</v>
      </c>
      <c r="B9" s="5" t="s">
        <v>128</v>
      </c>
      <c r="C9" s="5">
        <v>9</v>
      </c>
      <c r="D9" s="5">
        <v>70</v>
      </c>
      <c r="E9" s="5">
        <v>60</v>
      </c>
      <c r="F9" s="19">
        <v>65</v>
      </c>
      <c r="G9" s="20" t="s">
        <v>131</v>
      </c>
    </row>
    <row r="10" spans="1:7" x14ac:dyDescent="0.45">
      <c r="A10" s="5" t="s">
        <v>132</v>
      </c>
      <c r="B10" s="5" t="s">
        <v>128</v>
      </c>
      <c r="C10" s="5">
        <v>8</v>
      </c>
      <c r="D10" s="5">
        <v>90</v>
      </c>
      <c r="E10" s="5">
        <v>78</v>
      </c>
      <c r="F10" s="19">
        <v>84</v>
      </c>
      <c r="G10" s="20" t="s">
        <v>131</v>
      </c>
    </row>
    <row r="11" spans="1:7" x14ac:dyDescent="0.45">
      <c r="A11" s="5" t="s">
        <v>133</v>
      </c>
      <c r="B11" s="5" t="s">
        <v>134</v>
      </c>
      <c r="C11" s="5">
        <v>20</v>
      </c>
      <c r="D11" s="5">
        <v>100</v>
      </c>
      <c r="E11" s="5">
        <v>86</v>
      </c>
      <c r="F11" s="19">
        <v>93</v>
      </c>
      <c r="G11" s="20" t="s">
        <v>122</v>
      </c>
    </row>
    <row r="12" spans="1:7" x14ac:dyDescent="0.45">
      <c r="A12" s="5" t="s">
        <v>135</v>
      </c>
      <c r="B12" s="5" t="s">
        <v>134</v>
      </c>
      <c r="C12" s="5">
        <v>13</v>
      </c>
      <c r="D12" s="5">
        <v>100</v>
      </c>
      <c r="E12" s="5">
        <v>85</v>
      </c>
      <c r="F12" s="19">
        <v>92.5</v>
      </c>
      <c r="G12" s="20" t="s">
        <v>126</v>
      </c>
    </row>
    <row r="13" spans="1:7" x14ac:dyDescent="0.45">
      <c r="A13" s="5" t="s">
        <v>136</v>
      </c>
      <c r="B13" s="5" t="s">
        <v>134</v>
      </c>
      <c r="C13" s="5">
        <v>16</v>
      </c>
      <c r="D13" s="5">
        <v>95</v>
      </c>
      <c r="E13" s="5">
        <v>91</v>
      </c>
      <c r="F13" s="19">
        <v>93</v>
      </c>
      <c r="G13" s="20" t="s">
        <v>122</v>
      </c>
    </row>
  </sheetData>
  <mergeCells count="3">
    <mergeCell ref="C3:G3"/>
    <mergeCell ref="B3:B4"/>
    <mergeCell ref="A3:A4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dimension ref="A1:G12"/>
  <sheetViews>
    <sheetView workbookViewId="0">
      <selection sqref="A1:G1"/>
    </sheetView>
  </sheetViews>
  <sheetFormatPr defaultRowHeight="17" x14ac:dyDescent="0.45"/>
  <sheetData>
    <row r="1" spans="1:7" ht="21" x14ac:dyDescent="0.45">
      <c r="A1" s="51" t="s">
        <v>137</v>
      </c>
      <c r="B1" s="51"/>
      <c r="C1" s="51"/>
      <c r="D1" s="51"/>
      <c r="E1" s="51"/>
      <c r="F1" s="51"/>
      <c r="G1" s="51"/>
    </row>
    <row r="3" spans="1:7" x14ac:dyDescent="0.45">
      <c r="A3" s="52" t="s">
        <v>138</v>
      </c>
      <c r="B3" s="52" t="s">
        <v>139</v>
      </c>
      <c r="C3" s="52" t="s">
        <v>142</v>
      </c>
      <c r="D3" s="52"/>
      <c r="E3" s="52"/>
      <c r="F3" s="52" t="s">
        <v>140</v>
      </c>
      <c r="G3" s="52"/>
    </row>
    <row r="4" spans="1:7" x14ac:dyDescent="0.45">
      <c r="A4" s="52"/>
      <c r="B4" s="52"/>
      <c r="C4" s="5" t="s">
        <v>141</v>
      </c>
      <c r="D4" s="5" t="s">
        <v>143</v>
      </c>
      <c r="E4" s="5" t="s">
        <v>144</v>
      </c>
      <c r="F4" s="5" t="s">
        <v>145</v>
      </c>
      <c r="G4" s="5" t="s">
        <v>146</v>
      </c>
    </row>
    <row r="5" spans="1:7" x14ac:dyDescent="0.45">
      <c r="A5" s="5">
        <v>1</v>
      </c>
      <c r="B5" s="5" t="s">
        <v>147</v>
      </c>
      <c r="C5" s="5">
        <v>90</v>
      </c>
      <c r="D5" s="5">
        <v>80</v>
      </c>
      <c r="E5" s="5">
        <v>90</v>
      </c>
      <c r="F5" s="5">
        <v>80</v>
      </c>
      <c r="G5" s="5">
        <v>89</v>
      </c>
    </row>
    <row r="6" spans="1:7" x14ac:dyDescent="0.45">
      <c r="A6" s="5">
        <v>2</v>
      </c>
      <c r="B6" s="5" t="s">
        <v>148</v>
      </c>
      <c r="C6" s="5">
        <v>70</v>
      </c>
      <c r="D6" s="5">
        <v>80</v>
      </c>
      <c r="E6" s="5">
        <v>80</v>
      </c>
      <c r="F6" s="5">
        <v>96</v>
      </c>
      <c r="G6" s="5">
        <v>80</v>
      </c>
    </row>
    <row r="7" spans="1:7" x14ac:dyDescent="0.45">
      <c r="A7" s="5">
        <v>3</v>
      </c>
      <c r="B7" s="5" t="s">
        <v>149</v>
      </c>
      <c r="C7" s="5">
        <v>60</v>
      </c>
      <c r="D7" s="5">
        <v>70</v>
      </c>
      <c r="E7" s="5">
        <v>70</v>
      </c>
      <c r="F7" s="5">
        <v>94</v>
      </c>
      <c r="G7" s="5">
        <v>90</v>
      </c>
    </row>
    <row r="8" spans="1:7" x14ac:dyDescent="0.45">
      <c r="A8" s="5">
        <v>4</v>
      </c>
      <c r="B8" s="5" t="s">
        <v>150</v>
      </c>
      <c r="C8" s="5">
        <v>60</v>
      </c>
      <c r="D8" s="5">
        <v>50</v>
      </c>
      <c r="E8" s="5">
        <v>80</v>
      </c>
      <c r="F8" s="5">
        <v>80</v>
      </c>
      <c r="G8" s="5">
        <v>97</v>
      </c>
    </row>
    <row r="9" spans="1:7" x14ac:dyDescent="0.45">
      <c r="A9" s="5">
        <v>5</v>
      </c>
      <c r="B9" s="5" t="s">
        <v>151</v>
      </c>
      <c r="C9" s="5">
        <v>50</v>
      </c>
      <c r="D9" s="5">
        <v>70</v>
      </c>
      <c r="E9" s="5">
        <v>90</v>
      </c>
      <c r="F9" s="5">
        <v>80</v>
      </c>
      <c r="G9" s="5">
        <v>99</v>
      </c>
    </row>
    <row r="10" spans="1:7" x14ac:dyDescent="0.45">
      <c r="A10" s="5">
        <v>6</v>
      </c>
      <c r="B10" s="5" t="s">
        <v>152</v>
      </c>
      <c r="C10" s="5">
        <v>50</v>
      </c>
      <c r="D10" s="5">
        <v>50</v>
      </c>
      <c r="E10" s="5">
        <v>70</v>
      </c>
      <c r="F10" s="5">
        <v>91</v>
      </c>
      <c r="G10" s="5">
        <v>85</v>
      </c>
    </row>
    <row r="11" spans="1:7" x14ac:dyDescent="0.45">
      <c r="A11" s="5">
        <v>7</v>
      </c>
      <c r="B11" s="5" t="s">
        <v>153</v>
      </c>
      <c r="C11" s="5">
        <v>60</v>
      </c>
      <c r="D11" s="5">
        <v>60</v>
      </c>
      <c r="E11" s="5">
        <v>70</v>
      </c>
      <c r="F11" s="5">
        <v>93</v>
      </c>
      <c r="G11" s="5">
        <v>90</v>
      </c>
    </row>
    <row r="12" spans="1:7" x14ac:dyDescent="0.45">
      <c r="A12" s="5">
        <v>8</v>
      </c>
      <c r="B12" s="5" t="s">
        <v>154</v>
      </c>
      <c r="C12" s="5">
        <v>80</v>
      </c>
      <c r="D12" s="5">
        <v>80</v>
      </c>
      <c r="E12" s="5">
        <v>80</v>
      </c>
      <c r="F12" s="5">
        <v>93</v>
      </c>
      <c r="G12" s="5">
        <v>92</v>
      </c>
    </row>
  </sheetData>
  <mergeCells count="5">
    <mergeCell ref="A1:G1"/>
    <mergeCell ref="F3:G3"/>
    <mergeCell ref="C3:E3"/>
    <mergeCell ref="B3:B4"/>
    <mergeCell ref="A3:A4"/>
  </mergeCells>
  <phoneticPr fontId="1" type="noConversion"/>
  <conditionalFormatting sqref="C5:E12">
    <cfRule type="cellIs" dxfId="1" priority="2" operator="greaterThan">
      <formula>70</formula>
    </cfRule>
  </conditionalFormatting>
  <conditionalFormatting sqref="F5:G12">
    <cfRule type="aboveAverage" dxfId="0" priority="1" aboveAverage="0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50511-3257-4ADB-8ABB-772A246345C0}">
  <dimension ref="A1:J28"/>
  <sheetViews>
    <sheetView workbookViewId="0">
      <selection sqref="A1:J1"/>
    </sheetView>
  </sheetViews>
  <sheetFormatPr defaultRowHeight="17" x14ac:dyDescent="0.45"/>
  <cols>
    <col min="1" max="1" width="8.83203125" bestFit="1" customWidth="1"/>
    <col min="2" max="3" width="8.6640625" customWidth="1"/>
    <col min="4" max="4" width="9.6640625" bestFit="1" customWidth="1"/>
    <col min="5" max="7" width="8.6640625" customWidth="1"/>
    <col min="8" max="9" width="9.6640625" bestFit="1" customWidth="1"/>
    <col min="10" max="10" width="8.6640625" customWidth="1"/>
  </cols>
  <sheetData>
    <row r="1" spans="1:10" ht="21" x14ac:dyDescent="0.45">
      <c r="A1" s="51" t="s">
        <v>155</v>
      </c>
      <c r="B1" s="51"/>
      <c r="C1" s="51"/>
      <c r="D1" s="51"/>
      <c r="E1" s="51"/>
      <c r="F1" s="51"/>
      <c r="G1" s="51"/>
      <c r="H1" s="51"/>
      <c r="I1" s="51"/>
      <c r="J1" s="51"/>
    </row>
    <row r="3" spans="1:10" ht="34" x14ac:dyDescent="0.45">
      <c r="A3" s="5" t="s">
        <v>156</v>
      </c>
      <c r="B3" s="5" t="s">
        <v>157</v>
      </c>
      <c r="C3" s="5" t="s">
        <v>158</v>
      </c>
      <c r="D3" s="5" t="s">
        <v>159</v>
      </c>
      <c r="E3" s="10" t="s">
        <v>175</v>
      </c>
      <c r="F3" s="5" t="s">
        <v>160</v>
      </c>
      <c r="G3" s="5" t="s">
        <v>161</v>
      </c>
      <c r="H3" s="5" t="s">
        <v>162</v>
      </c>
      <c r="I3" s="5" t="s">
        <v>163</v>
      </c>
      <c r="J3" s="5" t="s">
        <v>164</v>
      </c>
    </row>
    <row r="4" spans="1:10" x14ac:dyDescent="0.45">
      <c r="A4" s="5" t="s">
        <v>165</v>
      </c>
      <c r="B4" s="12">
        <v>18500</v>
      </c>
      <c r="C4" s="12">
        <v>30</v>
      </c>
      <c r="D4" s="12">
        <f>B4*C4</f>
        <v>555000</v>
      </c>
      <c r="E4" s="12">
        <f>D4*0.25%</f>
        <v>1387.5</v>
      </c>
      <c r="F4" s="12">
        <f>B4+E4</f>
        <v>19887.5</v>
      </c>
      <c r="G4" s="12">
        <v>25000</v>
      </c>
      <c r="H4" s="12">
        <f>C4*G4</f>
        <v>750000</v>
      </c>
      <c r="I4" s="12">
        <f>H4-D4</f>
        <v>195000</v>
      </c>
      <c r="J4" s="11">
        <f>H4/(D4+E4)-1</f>
        <v>0.34798139785670967</v>
      </c>
    </row>
    <row r="5" spans="1:10" x14ac:dyDescent="0.45">
      <c r="A5" s="5" t="s">
        <v>166</v>
      </c>
      <c r="B5" s="12">
        <v>8700</v>
      </c>
      <c r="C5" s="12">
        <v>295</v>
      </c>
      <c r="D5" s="12">
        <f t="shared" ref="D5:D13" si="0">B5*C5</f>
        <v>2566500</v>
      </c>
      <c r="E5" s="12">
        <f t="shared" ref="E5:E13" si="1">D5*0.25%</f>
        <v>6416.25</v>
      </c>
      <c r="F5" s="12">
        <f t="shared" ref="F5:F13" si="2">B5+E5</f>
        <v>15116.25</v>
      </c>
      <c r="G5" s="12">
        <v>7650</v>
      </c>
      <c r="H5" s="12">
        <f t="shared" ref="H5:H13" si="3">C5*G5</f>
        <v>2256750</v>
      </c>
      <c r="I5" s="12">
        <f t="shared" ref="I5:I13" si="4">H5-D5</f>
        <v>-309750</v>
      </c>
      <c r="J5" s="11">
        <f t="shared" ref="J5:J13" si="5">H5/(D5+E5)-1</f>
        <v>-0.12288244904978929</v>
      </c>
    </row>
    <row r="6" spans="1:10" x14ac:dyDescent="0.45">
      <c r="A6" s="5" t="s">
        <v>167</v>
      </c>
      <c r="B6" s="12">
        <v>9900</v>
      </c>
      <c r="C6" s="12">
        <v>10</v>
      </c>
      <c r="D6" s="12">
        <f t="shared" si="0"/>
        <v>99000</v>
      </c>
      <c r="E6" s="12">
        <f t="shared" si="1"/>
        <v>247.5</v>
      </c>
      <c r="F6" s="12">
        <f t="shared" si="2"/>
        <v>10147.5</v>
      </c>
      <c r="G6" s="12">
        <v>7700</v>
      </c>
      <c r="H6" s="12">
        <f t="shared" si="3"/>
        <v>77000</v>
      </c>
      <c r="I6" s="12">
        <f t="shared" si="4"/>
        <v>-22000</v>
      </c>
      <c r="J6" s="11">
        <f t="shared" si="5"/>
        <v>-0.22416181767802712</v>
      </c>
    </row>
    <row r="7" spans="1:10" x14ac:dyDescent="0.45">
      <c r="A7" s="5" t="s">
        <v>168</v>
      </c>
      <c r="B7" s="12">
        <v>23000</v>
      </c>
      <c r="C7" s="12">
        <v>273</v>
      </c>
      <c r="D7" s="12">
        <f t="shared" si="0"/>
        <v>6279000</v>
      </c>
      <c r="E7" s="12">
        <f t="shared" si="1"/>
        <v>15697.5</v>
      </c>
      <c r="F7" s="12">
        <f t="shared" si="2"/>
        <v>38697.5</v>
      </c>
      <c r="G7" s="12">
        <v>25000</v>
      </c>
      <c r="H7" s="12">
        <f t="shared" si="3"/>
        <v>6825000</v>
      </c>
      <c r="I7" s="12">
        <f t="shared" si="4"/>
        <v>546000</v>
      </c>
      <c r="J7" s="11">
        <f t="shared" si="5"/>
        <v>8.4245906971701201E-2</v>
      </c>
    </row>
    <row r="8" spans="1:10" x14ac:dyDescent="0.45">
      <c r="A8" s="5" t="s">
        <v>169</v>
      </c>
      <c r="B8" s="12">
        <v>25000</v>
      </c>
      <c r="C8" s="12">
        <v>30</v>
      </c>
      <c r="D8" s="12">
        <f t="shared" si="0"/>
        <v>750000</v>
      </c>
      <c r="E8" s="12">
        <f t="shared" si="1"/>
        <v>1875</v>
      </c>
      <c r="F8" s="12">
        <f t="shared" si="2"/>
        <v>26875</v>
      </c>
      <c r="G8" s="12">
        <v>89000</v>
      </c>
      <c r="H8" s="12">
        <f t="shared" si="3"/>
        <v>2670000</v>
      </c>
      <c r="I8" s="12">
        <f t="shared" si="4"/>
        <v>1920000</v>
      </c>
      <c r="J8" s="11">
        <f t="shared" si="5"/>
        <v>2.5511221945137157</v>
      </c>
    </row>
    <row r="9" spans="1:10" x14ac:dyDescent="0.45">
      <c r="A9" s="5" t="s">
        <v>170</v>
      </c>
      <c r="B9" s="12">
        <v>6600</v>
      </c>
      <c r="C9" s="12">
        <v>120</v>
      </c>
      <c r="D9" s="12">
        <f t="shared" si="0"/>
        <v>792000</v>
      </c>
      <c r="E9" s="12">
        <f t="shared" si="1"/>
        <v>1980</v>
      </c>
      <c r="F9" s="12">
        <f t="shared" si="2"/>
        <v>8580</v>
      </c>
      <c r="G9" s="12">
        <v>12000</v>
      </c>
      <c r="H9" s="12">
        <f t="shared" si="3"/>
        <v>1440000</v>
      </c>
      <c r="I9" s="12">
        <f t="shared" si="4"/>
        <v>648000</v>
      </c>
      <c r="J9" s="11">
        <f t="shared" si="5"/>
        <v>0.81364769893448208</v>
      </c>
    </row>
    <row r="10" spans="1:10" x14ac:dyDescent="0.45">
      <c r="A10" s="5" t="s">
        <v>171</v>
      </c>
      <c r="B10" s="12">
        <v>11000</v>
      </c>
      <c r="C10" s="12">
        <v>50</v>
      </c>
      <c r="D10" s="12">
        <f t="shared" si="0"/>
        <v>550000</v>
      </c>
      <c r="E10" s="12">
        <f t="shared" si="1"/>
        <v>1375</v>
      </c>
      <c r="F10" s="12">
        <f t="shared" si="2"/>
        <v>12375</v>
      </c>
      <c r="G10" s="12">
        <v>13500</v>
      </c>
      <c r="H10" s="12">
        <f t="shared" si="3"/>
        <v>675000</v>
      </c>
      <c r="I10" s="12">
        <f t="shared" si="4"/>
        <v>125000</v>
      </c>
      <c r="J10" s="11">
        <f t="shared" si="5"/>
        <v>0.22421219678077531</v>
      </c>
    </row>
    <row r="11" spans="1:10" x14ac:dyDescent="0.45">
      <c r="A11" s="5" t="s">
        <v>172</v>
      </c>
      <c r="B11" s="12">
        <v>20000</v>
      </c>
      <c r="C11" s="12">
        <v>200</v>
      </c>
      <c r="D11" s="12">
        <f t="shared" si="0"/>
        <v>4000000</v>
      </c>
      <c r="E11" s="12">
        <f t="shared" si="1"/>
        <v>10000</v>
      </c>
      <c r="F11" s="12">
        <f t="shared" si="2"/>
        <v>30000</v>
      </c>
      <c r="G11" s="12">
        <v>23500</v>
      </c>
      <c r="H11" s="12">
        <f t="shared" si="3"/>
        <v>4700000</v>
      </c>
      <c r="I11" s="12">
        <f t="shared" si="4"/>
        <v>700000</v>
      </c>
      <c r="J11" s="11">
        <f t="shared" si="5"/>
        <v>0.17206982543640903</v>
      </c>
    </row>
    <row r="12" spans="1:10" x14ac:dyDescent="0.45">
      <c r="A12" s="5" t="s">
        <v>173</v>
      </c>
      <c r="B12" s="12">
        <v>25500</v>
      </c>
      <c r="C12" s="12">
        <v>50</v>
      </c>
      <c r="D12" s="12">
        <f t="shared" si="0"/>
        <v>1275000</v>
      </c>
      <c r="E12" s="12">
        <f t="shared" si="1"/>
        <v>3187.5</v>
      </c>
      <c r="F12" s="12">
        <f t="shared" si="2"/>
        <v>28687.5</v>
      </c>
      <c r="G12" s="12">
        <v>27000</v>
      </c>
      <c r="H12" s="12">
        <f t="shared" si="3"/>
        <v>1350000</v>
      </c>
      <c r="I12" s="12">
        <f t="shared" si="4"/>
        <v>75000</v>
      </c>
      <c r="J12" s="11">
        <f t="shared" si="5"/>
        <v>5.6183071732433643E-2</v>
      </c>
    </row>
    <row r="13" spans="1:10" x14ac:dyDescent="0.45">
      <c r="A13" s="5" t="s">
        <v>174</v>
      </c>
      <c r="B13" s="12">
        <v>7200</v>
      </c>
      <c r="C13" s="12">
        <v>20</v>
      </c>
      <c r="D13" s="12">
        <f t="shared" si="0"/>
        <v>144000</v>
      </c>
      <c r="E13" s="12">
        <f t="shared" si="1"/>
        <v>360</v>
      </c>
      <c r="F13" s="12">
        <f t="shared" si="2"/>
        <v>7560</v>
      </c>
      <c r="G13" s="12">
        <v>6300</v>
      </c>
      <c r="H13" s="12">
        <f t="shared" si="3"/>
        <v>126000</v>
      </c>
      <c r="I13" s="12">
        <f t="shared" si="4"/>
        <v>-18000</v>
      </c>
      <c r="J13" s="11">
        <f t="shared" si="5"/>
        <v>-0.12718204488778051</v>
      </c>
    </row>
    <row r="16" spans="1:10" x14ac:dyDescent="0.45">
      <c r="A16" s="1" t="s">
        <v>252</v>
      </c>
      <c r="B16" s="1" t="s">
        <v>254</v>
      </c>
    </row>
    <row r="17" spans="1:10" x14ac:dyDescent="0.45">
      <c r="A17" s="1" t="s">
        <v>253</v>
      </c>
      <c r="B17" s="1"/>
    </row>
    <row r="18" spans="1:10" x14ac:dyDescent="0.45">
      <c r="A18" s="1"/>
      <c r="B18" s="1" t="s">
        <v>255</v>
      </c>
    </row>
    <row r="20" spans="1:10" x14ac:dyDescent="0.45">
      <c r="A20" s="53" t="s">
        <v>176</v>
      </c>
      <c r="B20" s="53"/>
      <c r="C20" s="53"/>
      <c r="D20" s="53"/>
      <c r="E20" s="53"/>
      <c r="F20" s="53"/>
      <c r="G20" s="53"/>
      <c r="H20" s="53"/>
      <c r="I20" s="53"/>
      <c r="J20" s="53"/>
    </row>
    <row r="21" spans="1:10" ht="34" x14ac:dyDescent="0.45">
      <c r="A21" s="5" t="s">
        <v>156</v>
      </c>
      <c r="B21" s="5" t="s">
        <v>157</v>
      </c>
      <c r="C21" s="5" t="s">
        <v>158</v>
      </c>
      <c r="D21" s="5" t="s">
        <v>159</v>
      </c>
      <c r="E21" s="10" t="s">
        <v>175</v>
      </c>
      <c r="F21" s="5" t="s">
        <v>160</v>
      </c>
      <c r="G21" s="5" t="s">
        <v>161</v>
      </c>
      <c r="H21" s="5" t="s">
        <v>162</v>
      </c>
      <c r="I21" s="5" t="s">
        <v>163</v>
      </c>
      <c r="J21" s="5" t="s">
        <v>164</v>
      </c>
    </row>
    <row r="22" spans="1:10" x14ac:dyDescent="0.45">
      <c r="A22" s="5" t="s">
        <v>165</v>
      </c>
      <c r="B22" s="12">
        <v>18500</v>
      </c>
      <c r="C22" s="12">
        <v>30</v>
      </c>
      <c r="D22" s="12">
        <v>555000</v>
      </c>
      <c r="E22" s="12">
        <v>1387.5</v>
      </c>
      <c r="F22" s="12">
        <v>19887.5</v>
      </c>
      <c r="G22" s="12">
        <v>25000</v>
      </c>
      <c r="H22" s="12">
        <v>750000</v>
      </c>
      <c r="I22" s="12">
        <v>195000</v>
      </c>
      <c r="J22" s="11">
        <v>0.34798139785670967</v>
      </c>
    </row>
    <row r="23" spans="1:10" x14ac:dyDescent="0.45">
      <c r="A23" s="5" t="s">
        <v>166</v>
      </c>
      <c r="B23" s="12">
        <v>8700</v>
      </c>
      <c r="C23" s="12">
        <v>295</v>
      </c>
      <c r="D23" s="12">
        <v>2566500</v>
      </c>
      <c r="E23" s="12">
        <v>6416.25</v>
      </c>
      <c r="F23" s="12">
        <v>15116.25</v>
      </c>
      <c r="G23" s="12">
        <v>7650</v>
      </c>
      <c r="H23" s="12">
        <v>2256750</v>
      </c>
      <c r="I23" s="12">
        <v>-309750</v>
      </c>
      <c r="J23" s="11">
        <v>-0.12288244904978929</v>
      </c>
    </row>
    <row r="24" spans="1:10" x14ac:dyDescent="0.45">
      <c r="A24" s="5" t="s">
        <v>167</v>
      </c>
      <c r="B24" s="12">
        <v>9900</v>
      </c>
      <c r="C24" s="12">
        <v>10</v>
      </c>
      <c r="D24" s="12">
        <v>99000</v>
      </c>
      <c r="E24" s="12">
        <v>247.5</v>
      </c>
      <c r="F24" s="12">
        <v>10147.5</v>
      </c>
      <c r="G24" s="12">
        <v>7700</v>
      </c>
      <c r="H24" s="12">
        <v>77000</v>
      </c>
      <c r="I24" s="12">
        <v>-22000</v>
      </c>
      <c r="J24" s="11">
        <v>-0.22416181767802712</v>
      </c>
    </row>
    <row r="25" spans="1:10" x14ac:dyDescent="0.45">
      <c r="A25" s="5" t="s">
        <v>168</v>
      </c>
      <c r="B25" s="12">
        <v>23000</v>
      </c>
      <c r="C25" s="12">
        <v>273</v>
      </c>
      <c r="D25" s="12">
        <v>6279000</v>
      </c>
      <c r="E25" s="12">
        <v>15697.5</v>
      </c>
      <c r="F25" s="12">
        <v>38697.5</v>
      </c>
      <c r="G25" s="12">
        <v>25000</v>
      </c>
      <c r="H25" s="12">
        <v>6825000</v>
      </c>
      <c r="I25" s="12">
        <v>546000</v>
      </c>
      <c r="J25" s="11">
        <v>8.4245906971701201E-2</v>
      </c>
    </row>
    <row r="26" spans="1:10" x14ac:dyDescent="0.45">
      <c r="A26" s="5" t="s">
        <v>169</v>
      </c>
      <c r="B26" s="12">
        <v>25000</v>
      </c>
      <c r="C26" s="12">
        <v>30</v>
      </c>
      <c r="D26" s="12">
        <v>750000</v>
      </c>
      <c r="E26" s="12">
        <v>1875</v>
      </c>
      <c r="F26" s="12">
        <v>26875</v>
      </c>
      <c r="G26" s="12">
        <v>89000</v>
      </c>
      <c r="H26" s="12">
        <v>2670000</v>
      </c>
      <c r="I26" s="12">
        <v>1920000</v>
      </c>
      <c r="J26" s="11">
        <v>2.5511221945137157</v>
      </c>
    </row>
    <row r="27" spans="1:10" x14ac:dyDescent="0.45">
      <c r="A27" s="5" t="s">
        <v>170</v>
      </c>
      <c r="B27" s="12">
        <v>6600</v>
      </c>
      <c r="C27" s="12">
        <v>120</v>
      </c>
      <c r="D27" s="12">
        <v>792000</v>
      </c>
      <c r="E27" s="12">
        <v>1980</v>
      </c>
      <c r="F27" s="12">
        <v>8580</v>
      </c>
      <c r="G27" s="12">
        <v>12000</v>
      </c>
      <c r="H27" s="12">
        <v>1440000</v>
      </c>
      <c r="I27" s="12">
        <v>648000</v>
      </c>
      <c r="J27" s="11">
        <v>0.81364769893448208</v>
      </c>
    </row>
    <row r="28" spans="1:10" x14ac:dyDescent="0.45">
      <c r="A28" s="5" t="s">
        <v>172</v>
      </c>
      <c r="B28" s="12">
        <v>20000</v>
      </c>
      <c r="C28" s="12">
        <v>200</v>
      </c>
      <c r="D28" s="12">
        <v>4000000</v>
      </c>
      <c r="E28" s="12">
        <v>10000</v>
      </c>
      <c r="F28" s="12">
        <v>30000</v>
      </c>
      <c r="G28" s="12">
        <v>23500</v>
      </c>
      <c r="H28" s="12">
        <v>4700000</v>
      </c>
      <c r="I28" s="12">
        <v>700000</v>
      </c>
      <c r="J28" s="11">
        <v>0.17206982543640903</v>
      </c>
    </row>
  </sheetData>
  <mergeCells count="2">
    <mergeCell ref="A1:J1"/>
    <mergeCell ref="A20:J20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dimension ref="A1:I33"/>
  <sheetViews>
    <sheetView workbookViewId="0"/>
  </sheetViews>
  <sheetFormatPr defaultRowHeight="17" x14ac:dyDescent="0.45"/>
  <cols>
    <col min="4" max="4" width="10.58203125" bestFit="1" customWidth="1"/>
  </cols>
  <sheetData>
    <row r="1" spans="1:9" x14ac:dyDescent="0.45">
      <c r="A1" s="3" t="s">
        <v>31</v>
      </c>
      <c r="B1" s="4" t="s">
        <v>32</v>
      </c>
      <c r="F1" s="3" t="s">
        <v>45</v>
      </c>
      <c r="G1" s="4" t="s">
        <v>46</v>
      </c>
    </row>
    <row r="2" spans="1:9" x14ac:dyDescent="0.45">
      <c r="A2" s="5" t="s">
        <v>33</v>
      </c>
      <c r="B2" s="5" t="s">
        <v>34</v>
      </c>
      <c r="C2" s="5" t="s">
        <v>35</v>
      </c>
      <c r="D2" s="8" t="s">
        <v>36</v>
      </c>
      <c r="F2" s="5" t="s">
        <v>47</v>
      </c>
      <c r="G2" s="5" t="s">
        <v>48</v>
      </c>
      <c r="H2" s="5" t="s">
        <v>49</v>
      </c>
      <c r="I2" s="8" t="s">
        <v>50</v>
      </c>
    </row>
    <row r="3" spans="1:9" x14ac:dyDescent="0.45">
      <c r="A3" s="5" t="s">
        <v>37</v>
      </c>
      <c r="B3" s="6">
        <v>0.4604166666666667</v>
      </c>
      <c r="C3" s="6">
        <v>0.4826388888888889</v>
      </c>
      <c r="D3" s="7">
        <f>HOUR(C3-B3)*6*1200+MINUTE(C3-B3)/10*1200</f>
        <v>3840</v>
      </c>
      <c r="F3" s="5" t="s">
        <v>51</v>
      </c>
      <c r="G3" s="5">
        <v>4</v>
      </c>
      <c r="H3" s="5">
        <v>90</v>
      </c>
      <c r="I3" s="5" t="str">
        <f>IF(OR(_xlfn.RANK.EQ(G3,$G$3:$G$10)&lt;=3,_xlfn.RANK.EQ(H3,$H$3:$H$10)&lt;=3),"통과","")</f>
        <v>통과</v>
      </c>
    </row>
    <row r="4" spans="1:9" x14ac:dyDescent="0.45">
      <c r="A4" s="5" t="s">
        <v>38</v>
      </c>
      <c r="B4" s="6">
        <v>0.46597222222222223</v>
      </c>
      <c r="C4" s="6">
        <v>0.4777777777777778</v>
      </c>
      <c r="D4" s="7">
        <f t="shared" ref="D4:D10" si="0">HOUR(C4-B4)*6*1200+MINUTE(C4-B4)/10*1200</f>
        <v>2040</v>
      </c>
      <c r="F4" s="5" t="s">
        <v>52</v>
      </c>
      <c r="G4" s="5">
        <v>7</v>
      </c>
      <c r="H4" s="5">
        <v>85</v>
      </c>
      <c r="I4" s="5" t="str">
        <f t="shared" ref="I4:I10" si="1">IF(OR(_xlfn.RANK.EQ(G4,$G$3:$G$10)&lt;=3,_xlfn.RANK.EQ(H4,$H$3:$H$10)&lt;=3),"통과","")</f>
        <v/>
      </c>
    </row>
    <row r="5" spans="1:9" x14ac:dyDescent="0.45">
      <c r="A5" s="5" t="s">
        <v>39</v>
      </c>
      <c r="B5" s="6">
        <v>0.47569444444444442</v>
      </c>
      <c r="C5" s="6">
        <v>0.50138888888888888</v>
      </c>
      <c r="D5" s="7">
        <f t="shared" si="0"/>
        <v>4440</v>
      </c>
      <c r="F5" s="5" t="s">
        <v>53</v>
      </c>
      <c r="G5" s="5">
        <v>28</v>
      </c>
      <c r="H5" s="5">
        <v>99</v>
      </c>
      <c r="I5" s="5" t="str">
        <f t="shared" si="1"/>
        <v>통과</v>
      </c>
    </row>
    <row r="6" spans="1:9" x14ac:dyDescent="0.45">
      <c r="A6" s="5" t="s">
        <v>40</v>
      </c>
      <c r="B6" s="6">
        <v>0.48749999999999999</v>
      </c>
      <c r="C6" s="6">
        <v>0.49861111111111112</v>
      </c>
      <c r="D6" s="7">
        <f t="shared" si="0"/>
        <v>1920</v>
      </c>
      <c r="F6" s="5" t="s">
        <v>54</v>
      </c>
      <c r="G6" s="5">
        <v>2</v>
      </c>
      <c r="H6" s="5">
        <v>65</v>
      </c>
      <c r="I6" s="5" t="str">
        <f t="shared" si="1"/>
        <v/>
      </c>
    </row>
    <row r="7" spans="1:9" x14ac:dyDescent="0.45">
      <c r="A7" s="5" t="s">
        <v>41</v>
      </c>
      <c r="B7" s="6">
        <v>0.49791666666666662</v>
      </c>
      <c r="C7" s="6">
        <v>0.51597222222222217</v>
      </c>
      <c r="D7" s="7">
        <f t="shared" si="0"/>
        <v>3120</v>
      </c>
      <c r="F7" s="5" t="s">
        <v>55</v>
      </c>
      <c r="G7" s="5">
        <v>23</v>
      </c>
      <c r="H7" s="5">
        <v>78</v>
      </c>
      <c r="I7" s="5" t="str">
        <f t="shared" si="1"/>
        <v>통과</v>
      </c>
    </row>
    <row r="8" spans="1:9" x14ac:dyDescent="0.45">
      <c r="A8" s="5" t="s">
        <v>42</v>
      </c>
      <c r="B8" s="6">
        <v>0.50416666666666665</v>
      </c>
      <c r="C8" s="6">
        <v>0.52777777777777779</v>
      </c>
      <c r="D8" s="7">
        <f t="shared" si="0"/>
        <v>4080</v>
      </c>
      <c r="F8" s="5" t="s">
        <v>56</v>
      </c>
      <c r="G8" s="5">
        <v>16</v>
      </c>
      <c r="H8" s="5">
        <v>82</v>
      </c>
      <c r="I8" s="5" t="str">
        <f t="shared" si="1"/>
        <v/>
      </c>
    </row>
    <row r="9" spans="1:9" x14ac:dyDescent="0.45">
      <c r="A9" s="5" t="s">
        <v>43</v>
      </c>
      <c r="B9" s="6">
        <v>0.5083333333333333</v>
      </c>
      <c r="C9" s="6">
        <v>0.53333333333333333</v>
      </c>
      <c r="D9" s="7">
        <f t="shared" si="0"/>
        <v>4320</v>
      </c>
      <c r="F9" s="5" t="s">
        <v>57</v>
      </c>
      <c r="G9" s="5">
        <v>25</v>
      </c>
      <c r="H9" s="5">
        <v>95</v>
      </c>
      <c r="I9" s="5" t="str">
        <f t="shared" si="1"/>
        <v>통과</v>
      </c>
    </row>
    <row r="10" spans="1:9" x14ac:dyDescent="0.45">
      <c r="A10" s="5" t="s">
        <v>44</v>
      </c>
      <c r="B10" s="6">
        <v>0.5229166666666667</v>
      </c>
      <c r="C10" s="6">
        <v>0.5395833333333333</v>
      </c>
      <c r="D10" s="7">
        <f t="shared" si="0"/>
        <v>2880</v>
      </c>
      <c r="F10" s="5" t="s">
        <v>58</v>
      </c>
      <c r="G10" s="5">
        <v>12</v>
      </c>
      <c r="H10" s="5">
        <v>68</v>
      </c>
      <c r="I10" s="5" t="str">
        <f t="shared" si="1"/>
        <v/>
      </c>
    </row>
    <row r="12" spans="1:9" x14ac:dyDescent="0.45">
      <c r="A12" s="3" t="s">
        <v>59</v>
      </c>
      <c r="B12" s="4" t="s">
        <v>60</v>
      </c>
      <c r="F12" s="3" t="s">
        <v>73</v>
      </c>
      <c r="G12" s="4" t="s">
        <v>74</v>
      </c>
    </row>
    <row r="13" spans="1:9" x14ac:dyDescent="0.45">
      <c r="A13" s="5" t="s">
        <v>47</v>
      </c>
      <c r="B13" s="5" t="s">
        <v>61</v>
      </c>
      <c r="C13" s="5" t="s">
        <v>251</v>
      </c>
      <c r="D13" s="5" t="s">
        <v>60</v>
      </c>
      <c r="F13" s="5" t="s">
        <v>47</v>
      </c>
      <c r="G13" s="5" t="s">
        <v>75</v>
      </c>
      <c r="H13" s="8" t="s">
        <v>76</v>
      </c>
      <c r="I13" s="5" t="s">
        <v>77</v>
      </c>
    </row>
    <row r="14" spans="1:9" x14ac:dyDescent="0.45">
      <c r="A14" s="5" t="s">
        <v>62</v>
      </c>
      <c r="B14" s="5" t="s">
        <v>63</v>
      </c>
      <c r="C14" s="5" t="s">
        <v>7</v>
      </c>
      <c r="D14" s="7">
        <v>1500000</v>
      </c>
      <c r="F14" s="5" t="s">
        <v>78</v>
      </c>
      <c r="G14" s="5" t="s">
        <v>79</v>
      </c>
      <c r="H14" s="5" t="str">
        <f>HLOOKUP(LEFT(G14,1),$F$24:$I$25,2,FALSE)</f>
        <v>영업부</v>
      </c>
      <c r="I14" s="5">
        <v>87</v>
      </c>
    </row>
    <row r="15" spans="1:9" x14ac:dyDescent="0.45">
      <c r="A15" s="5" t="s">
        <v>64</v>
      </c>
      <c r="B15" s="5" t="s">
        <v>63</v>
      </c>
      <c r="C15" s="5" t="s">
        <v>12</v>
      </c>
      <c r="D15" s="7">
        <v>2000000</v>
      </c>
      <c r="F15" s="5" t="s">
        <v>80</v>
      </c>
      <c r="G15" s="5" t="s">
        <v>81</v>
      </c>
      <c r="H15" s="5" t="str">
        <f t="shared" ref="H15:H21" si="2">HLOOKUP(LEFT(G15,1),$F$24:$I$25,2,FALSE)</f>
        <v>관리부</v>
      </c>
      <c r="I15" s="5">
        <v>64</v>
      </c>
    </row>
    <row r="16" spans="1:9" x14ac:dyDescent="0.45">
      <c r="A16" s="5" t="s">
        <v>65</v>
      </c>
      <c r="B16" s="5" t="s">
        <v>66</v>
      </c>
      <c r="C16" s="5" t="s">
        <v>7</v>
      </c>
      <c r="D16" s="7">
        <v>1700000</v>
      </c>
      <c r="F16" s="5" t="s">
        <v>82</v>
      </c>
      <c r="G16" s="5" t="s">
        <v>83</v>
      </c>
      <c r="H16" s="5" t="str">
        <f t="shared" si="2"/>
        <v>영업부</v>
      </c>
      <c r="I16" s="5">
        <v>72</v>
      </c>
    </row>
    <row r="17" spans="1:9" x14ac:dyDescent="0.45">
      <c r="A17" s="5" t="s">
        <v>67</v>
      </c>
      <c r="B17" s="5" t="s">
        <v>66</v>
      </c>
      <c r="C17" s="5" t="s">
        <v>12</v>
      </c>
      <c r="D17" s="7">
        <v>2200000</v>
      </c>
      <c r="F17" s="5" t="s">
        <v>84</v>
      </c>
      <c r="G17" s="5" t="s">
        <v>85</v>
      </c>
      <c r="H17" s="5" t="str">
        <f t="shared" si="2"/>
        <v>판매부</v>
      </c>
      <c r="I17" s="5">
        <v>70</v>
      </c>
    </row>
    <row r="18" spans="1:9" x14ac:dyDescent="0.45">
      <c r="A18" s="5" t="s">
        <v>68</v>
      </c>
      <c r="B18" s="5" t="s">
        <v>66</v>
      </c>
      <c r="C18" s="5" t="s">
        <v>7</v>
      </c>
      <c r="D18" s="7">
        <v>1600000</v>
      </c>
      <c r="F18" s="5" t="s">
        <v>86</v>
      </c>
      <c r="G18" s="5" t="s">
        <v>87</v>
      </c>
      <c r="H18" s="5" t="str">
        <f t="shared" si="2"/>
        <v>경리부</v>
      </c>
      <c r="I18" s="5">
        <v>86</v>
      </c>
    </row>
    <row r="19" spans="1:9" x14ac:dyDescent="0.45">
      <c r="A19" s="5" t="s">
        <v>69</v>
      </c>
      <c r="B19" s="5" t="s">
        <v>63</v>
      </c>
      <c r="C19" s="5" t="s">
        <v>7</v>
      </c>
      <c r="D19" s="7">
        <v>1600000</v>
      </c>
      <c r="F19" s="5" t="s">
        <v>89</v>
      </c>
      <c r="G19" s="5" t="s">
        <v>90</v>
      </c>
      <c r="H19" s="5" t="str">
        <f t="shared" si="2"/>
        <v>관리부</v>
      </c>
      <c r="I19" s="5">
        <v>72</v>
      </c>
    </row>
    <row r="20" spans="1:9" x14ac:dyDescent="0.45">
      <c r="A20" s="5" t="s">
        <v>70</v>
      </c>
      <c r="B20" s="5" t="s">
        <v>66</v>
      </c>
      <c r="C20" s="5" t="s">
        <v>17</v>
      </c>
      <c r="D20" s="7">
        <v>1250000</v>
      </c>
      <c r="F20" s="5" t="s">
        <v>91</v>
      </c>
      <c r="G20" s="5" t="s">
        <v>92</v>
      </c>
      <c r="H20" s="5" t="str">
        <f t="shared" si="2"/>
        <v>경리부</v>
      </c>
      <c r="I20" s="5">
        <v>70</v>
      </c>
    </row>
    <row r="21" spans="1:9" x14ac:dyDescent="0.45">
      <c r="A21" s="5" t="s">
        <v>71</v>
      </c>
      <c r="B21" s="5" t="s">
        <v>63</v>
      </c>
      <c r="C21" s="5" t="s">
        <v>17</v>
      </c>
      <c r="D21" s="7">
        <v>1300000</v>
      </c>
      <c r="F21" s="5" t="s">
        <v>93</v>
      </c>
      <c r="G21" s="5" t="s">
        <v>94</v>
      </c>
      <c r="H21" s="5" t="str">
        <f t="shared" si="2"/>
        <v>영업부</v>
      </c>
      <c r="I21" s="5">
        <v>68</v>
      </c>
    </row>
    <row r="22" spans="1:9" x14ac:dyDescent="0.45">
      <c r="A22" s="54" t="s">
        <v>72</v>
      </c>
      <c r="B22" s="54"/>
      <c r="C22" s="54"/>
      <c r="D22" s="7">
        <f>SUMIFS(D14:D21,B14:B21,"판매부",C14:C21,"대리")</f>
        <v>3300000</v>
      </c>
    </row>
    <row r="23" spans="1:9" x14ac:dyDescent="0.45">
      <c r="F23" t="s">
        <v>95</v>
      </c>
    </row>
    <row r="24" spans="1:9" x14ac:dyDescent="0.45">
      <c r="A24" s="3" t="s">
        <v>100</v>
      </c>
      <c r="B24" s="4" t="s">
        <v>101</v>
      </c>
      <c r="F24" s="5" t="s">
        <v>96</v>
      </c>
      <c r="G24" s="5" t="s">
        <v>97</v>
      </c>
      <c r="H24" s="5" t="s">
        <v>98</v>
      </c>
      <c r="I24" s="5" t="s">
        <v>99</v>
      </c>
    </row>
    <row r="25" spans="1:9" x14ac:dyDescent="0.45">
      <c r="A25" s="5" t="s">
        <v>102</v>
      </c>
      <c r="B25" s="5" t="s">
        <v>103</v>
      </c>
      <c r="C25" s="8" t="s">
        <v>104</v>
      </c>
      <c r="F25" s="5" t="s">
        <v>63</v>
      </c>
      <c r="G25" s="5" t="s">
        <v>11</v>
      </c>
      <c r="H25" s="5" t="s">
        <v>88</v>
      </c>
      <c r="I25" s="5" t="s">
        <v>66</v>
      </c>
    </row>
    <row r="26" spans="1:9" x14ac:dyDescent="0.45">
      <c r="A26" s="5" t="s">
        <v>105</v>
      </c>
      <c r="B26" s="5">
        <v>6.5119999999999996</v>
      </c>
      <c r="C26" s="5">
        <f>IFERROR(_xlfn.RANK.EQ(B26,$B$26:$B$33,1),"실격")</f>
        <v>7</v>
      </c>
    </row>
    <row r="27" spans="1:9" x14ac:dyDescent="0.45">
      <c r="A27" s="5" t="s">
        <v>106</v>
      </c>
      <c r="B27" s="5">
        <v>6.3849999999999998</v>
      </c>
      <c r="C27" s="5">
        <f t="shared" ref="C27:C33" si="3">IFERROR(_xlfn.RANK.EQ(B27,$B$26:$B$33,1),"실격")</f>
        <v>6</v>
      </c>
    </row>
    <row r="28" spans="1:9" x14ac:dyDescent="0.45">
      <c r="A28" s="5" t="s">
        <v>107</v>
      </c>
      <c r="B28" s="5">
        <v>5.3860000000000001</v>
      </c>
      <c r="C28" s="5">
        <f t="shared" si="3"/>
        <v>3</v>
      </c>
    </row>
    <row r="29" spans="1:9" x14ac:dyDescent="0.45">
      <c r="A29" s="5" t="s">
        <v>108</v>
      </c>
      <c r="B29" s="5">
        <v>5.165</v>
      </c>
      <c r="C29" s="5">
        <f t="shared" si="3"/>
        <v>1</v>
      </c>
    </row>
    <row r="30" spans="1:9" x14ac:dyDescent="0.45">
      <c r="A30" s="5" t="s">
        <v>109</v>
      </c>
      <c r="B30" s="5"/>
      <c r="C30" s="5" t="str">
        <f t="shared" si="3"/>
        <v>실격</v>
      </c>
    </row>
    <row r="31" spans="1:9" x14ac:dyDescent="0.45">
      <c r="A31" s="5" t="s">
        <v>110</v>
      </c>
      <c r="B31" s="5">
        <v>6.2240000000000002</v>
      </c>
      <c r="C31" s="5">
        <f t="shared" si="3"/>
        <v>5</v>
      </c>
    </row>
    <row r="32" spans="1:9" x14ac:dyDescent="0.45">
      <c r="A32" s="5" t="s">
        <v>111</v>
      </c>
      <c r="B32" s="5">
        <v>5.6369999999999996</v>
      </c>
      <c r="C32" s="5">
        <f t="shared" si="3"/>
        <v>4</v>
      </c>
    </row>
    <row r="33" spans="1:3" x14ac:dyDescent="0.45">
      <c r="A33" s="5" t="s">
        <v>112</v>
      </c>
      <c r="B33" s="5">
        <v>5.3540000000000001</v>
      </c>
      <c r="C33" s="5">
        <f t="shared" si="3"/>
        <v>2</v>
      </c>
    </row>
  </sheetData>
  <mergeCells count="1">
    <mergeCell ref="A22:C22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DF760-AB68-4F50-BD58-AC2461B3DF3C}">
  <dimension ref="A1:F29"/>
  <sheetViews>
    <sheetView workbookViewId="0">
      <selection sqref="A1:F1"/>
    </sheetView>
  </sheetViews>
  <sheetFormatPr defaultRowHeight="17" outlineLevelRow="3" x14ac:dyDescent="0.45"/>
  <cols>
    <col min="1" max="1" width="9.5" bestFit="1" customWidth="1"/>
    <col min="2" max="2" width="13.25" bestFit="1" customWidth="1"/>
    <col min="5" max="5" width="9.33203125" bestFit="1" customWidth="1"/>
  </cols>
  <sheetData>
    <row r="1" spans="1:6" ht="21" x14ac:dyDescent="0.45">
      <c r="A1" s="51" t="s">
        <v>177</v>
      </c>
      <c r="B1" s="51"/>
      <c r="C1" s="51"/>
      <c r="D1" s="51"/>
      <c r="E1" s="51"/>
      <c r="F1" s="51"/>
    </row>
    <row r="2" spans="1:6" ht="17" customHeight="1" x14ac:dyDescent="0.45">
      <c r="A2" s="18"/>
      <c r="B2" s="18"/>
      <c r="C2" s="18"/>
      <c r="D2" s="18"/>
      <c r="E2" s="18"/>
      <c r="F2" s="18"/>
    </row>
    <row r="3" spans="1:6" x14ac:dyDescent="0.45">
      <c r="A3" s="5" t="s">
        <v>178</v>
      </c>
      <c r="B3" s="5" t="s">
        <v>179</v>
      </c>
      <c r="C3" s="5" t="s">
        <v>180</v>
      </c>
      <c r="D3" s="5" t="s">
        <v>181</v>
      </c>
      <c r="E3" s="5" t="s">
        <v>182</v>
      </c>
      <c r="F3" s="5" t="s">
        <v>183</v>
      </c>
    </row>
    <row r="4" spans="1:6" outlineLevel="3" x14ac:dyDescent="0.45">
      <c r="A4" s="14">
        <v>45576</v>
      </c>
      <c r="B4" s="5" t="s">
        <v>188</v>
      </c>
      <c r="C4" s="7">
        <v>9800</v>
      </c>
      <c r="D4" s="5">
        <v>15</v>
      </c>
      <c r="E4" s="7">
        <v>147000</v>
      </c>
      <c r="F4" s="5" t="s">
        <v>189</v>
      </c>
    </row>
    <row r="5" spans="1:6" outlineLevel="3" x14ac:dyDescent="0.45">
      <c r="A5" s="14">
        <v>45572</v>
      </c>
      <c r="B5" s="5" t="s">
        <v>188</v>
      </c>
      <c r="C5" s="7">
        <v>980</v>
      </c>
      <c r="D5" s="5">
        <v>30</v>
      </c>
      <c r="E5" s="7">
        <v>29400</v>
      </c>
      <c r="F5" s="5" t="s">
        <v>190</v>
      </c>
    </row>
    <row r="6" spans="1:6" outlineLevel="2" x14ac:dyDescent="0.45">
      <c r="A6" s="14"/>
      <c r="B6" s="25" t="s">
        <v>261</v>
      </c>
      <c r="C6" s="7"/>
      <c r="D6" s="5"/>
      <c r="E6" s="7">
        <f>SUBTOTAL(4,E4:E5)</f>
        <v>147000</v>
      </c>
      <c r="F6" s="5"/>
    </row>
    <row r="7" spans="1:6" outlineLevel="1" x14ac:dyDescent="0.45">
      <c r="A7" s="14"/>
      <c r="B7" s="25" t="s">
        <v>256</v>
      </c>
      <c r="C7" s="7"/>
      <c r="D7" s="5">
        <f>SUBTOTAL(9,D4:D5)</f>
        <v>45</v>
      </c>
      <c r="E7" s="7"/>
      <c r="F7" s="5"/>
    </row>
    <row r="8" spans="1:6" outlineLevel="3" x14ac:dyDescent="0.45">
      <c r="A8" s="14">
        <v>45580</v>
      </c>
      <c r="B8" s="5" t="s">
        <v>186</v>
      </c>
      <c r="C8" s="7">
        <v>20000</v>
      </c>
      <c r="D8" s="5">
        <v>40</v>
      </c>
      <c r="E8" s="7">
        <v>800000</v>
      </c>
      <c r="F8" s="5" t="s">
        <v>187</v>
      </c>
    </row>
    <row r="9" spans="1:6" outlineLevel="3" x14ac:dyDescent="0.45">
      <c r="A9" s="14">
        <v>45579</v>
      </c>
      <c r="B9" s="5" t="s">
        <v>186</v>
      </c>
      <c r="C9" s="7">
        <v>20000</v>
      </c>
      <c r="D9" s="5">
        <v>24</v>
      </c>
      <c r="E9" s="7">
        <v>480000</v>
      </c>
      <c r="F9" s="5" t="s">
        <v>187</v>
      </c>
    </row>
    <row r="10" spans="1:6" outlineLevel="2" x14ac:dyDescent="0.45">
      <c r="A10" s="14"/>
      <c r="B10" s="25" t="s">
        <v>262</v>
      </c>
      <c r="C10" s="7"/>
      <c r="D10" s="5"/>
      <c r="E10" s="7">
        <f>SUBTOTAL(4,E8:E9)</f>
        <v>800000</v>
      </c>
      <c r="F10" s="5"/>
    </row>
    <row r="11" spans="1:6" outlineLevel="1" x14ac:dyDescent="0.45">
      <c r="A11" s="14"/>
      <c r="B11" s="25" t="s">
        <v>257</v>
      </c>
      <c r="C11" s="7"/>
      <c r="D11" s="5">
        <f>SUBTOTAL(9,D8:D9)</f>
        <v>64</v>
      </c>
      <c r="E11" s="7"/>
      <c r="F11" s="5"/>
    </row>
    <row r="12" spans="1:6" outlineLevel="3" x14ac:dyDescent="0.45">
      <c r="A12" s="14">
        <v>45573</v>
      </c>
      <c r="B12" s="5" t="s">
        <v>267</v>
      </c>
      <c r="C12" s="7">
        <v>10580</v>
      </c>
      <c r="D12" s="5">
        <v>11</v>
      </c>
      <c r="E12" s="7">
        <v>116380</v>
      </c>
      <c r="F12" s="5" t="s">
        <v>185</v>
      </c>
    </row>
    <row r="13" spans="1:6" outlineLevel="3" x14ac:dyDescent="0.45">
      <c r="A13" s="14">
        <v>45566</v>
      </c>
      <c r="B13" s="5" t="s">
        <v>267</v>
      </c>
      <c r="C13" s="7">
        <v>10580</v>
      </c>
      <c r="D13" s="5">
        <v>10</v>
      </c>
      <c r="E13" s="7">
        <v>105800</v>
      </c>
      <c r="F13" s="5" t="s">
        <v>185</v>
      </c>
    </row>
    <row r="14" spans="1:6" outlineLevel="2" x14ac:dyDescent="0.45">
      <c r="A14" s="14"/>
      <c r="B14" s="25" t="s">
        <v>271</v>
      </c>
      <c r="C14" s="7"/>
      <c r="D14" s="5"/>
      <c r="E14" s="7">
        <f>SUBTOTAL(4,E12:E13)</f>
        <v>116380</v>
      </c>
      <c r="F14" s="5"/>
    </row>
    <row r="15" spans="1:6" outlineLevel="1" x14ac:dyDescent="0.45">
      <c r="A15" s="14"/>
      <c r="B15" s="25" t="s">
        <v>269</v>
      </c>
      <c r="C15" s="7"/>
      <c r="D15" s="5">
        <f>SUBTOTAL(9,D12:D13)</f>
        <v>21</v>
      </c>
      <c r="E15" s="7"/>
      <c r="F15" s="5"/>
    </row>
    <row r="16" spans="1:6" outlineLevel="3" x14ac:dyDescent="0.45">
      <c r="A16" s="14">
        <v>45580</v>
      </c>
      <c r="B16" s="5" t="s">
        <v>266</v>
      </c>
      <c r="C16" s="7">
        <v>15560</v>
      </c>
      <c r="D16" s="5">
        <v>20</v>
      </c>
      <c r="E16" s="7">
        <v>91200</v>
      </c>
      <c r="F16" s="5" t="s">
        <v>185</v>
      </c>
    </row>
    <row r="17" spans="1:6" outlineLevel="3" x14ac:dyDescent="0.45">
      <c r="A17" s="14">
        <v>45571</v>
      </c>
      <c r="B17" s="5" t="s">
        <v>266</v>
      </c>
      <c r="C17" s="7">
        <v>15560</v>
      </c>
      <c r="D17" s="5">
        <v>19</v>
      </c>
      <c r="E17" s="7">
        <v>86640</v>
      </c>
      <c r="F17" s="5" t="s">
        <v>185</v>
      </c>
    </row>
    <row r="18" spans="1:6" outlineLevel="2" x14ac:dyDescent="0.45">
      <c r="A18" s="14"/>
      <c r="B18" s="25" t="s">
        <v>272</v>
      </c>
      <c r="C18" s="7"/>
      <c r="D18" s="5"/>
      <c r="E18" s="7">
        <f>SUBTOTAL(4,E16:E17)</f>
        <v>91200</v>
      </c>
      <c r="F18" s="5"/>
    </row>
    <row r="19" spans="1:6" outlineLevel="1" x14ac:dyDescent="0.45">
      <c r="A19" s="14"/>
      <c r="B19" s="25" t="s">
        <v>270</v>
      </c>
      <c r="C19" s="7"/>
      <c r="D19" s="5">
        <f>SUBTOTAL(9,D16:D17)</f>
        <v>39</v>
      </c>
      <c r="E19" s="7"/>
      <c r="F19" s="5"/>
    </row>
    <row r="20" spans="1:6" outlineLevel="3" x14ac:dyDescent="0.45">
      <c r="A20" s="14">
        <v>45571</v>
      </c>
      <c r="B20" s="5" t="s">
        <v>191</v>
      </c>
      <c r="C20" s="7">
        <v>600</v>
      </c>
      <c r="D20" s="5">
        <v>5</v>
      </c>
      <c r="E20" s="7">
        <v>3000</v>
      </c>
      <c r="F20" s="5" t="s">
        <v>192</v>
      </c>
    </row>
    <row r="21" spans="1:6" outlineLevel="3" x14ac:dyDescent="0.45">
      <c r="A21" s="14">
        <v>45570</v>
      </c>
      <c r="B21" s="5" t="s">
        <v>268</v>
      </c>
      <c r="C21" s="7">
        <v>600</v>
      </c>
      <c r="D21" s="5">
        <v>11</v>
      </c>
      <c r="E21" s="7">
        <v>6600</v>
      </c>
      <c r="F21" s="5" t="s">
        <v>192</v>
      </c>
    </row>
    <row r="22" spans="1:6" outlineLevel="2" x14ac:dyDescent="0.45">
      <c r="A22" s="14"/>
      <c r="B22" s="25" t="s">
        <v>263</v>
      </c>
      <c r="C22" s="7"/>
      <c r="D22" s="5"/>
      <c r="E22" s="7">
        <f>SUBTOTAL(4,E20:E21)</f>
        <v>6600</v>
      </c>
      <c r="F22" s="5"/>
    </row>
    <row r="23" spans="1:6" outlineLevel="1" x14ac:dyDescent="0.45">
      <c r="A23" s="14"/>
      <c r="B23" s="25" t="s">
        <v>258</v>
      </c>
      <c r="C23" s="7"/>
      <c r="D23" s="5">
        <f>SUBTOTAL(9,D20:D21)</f>
        <v>16</v>
      </c>
      <c r="E23" s="7"/>
      <c r="F23" s="5"/>
    </row>
    <row r="24" spans="1:6" outlineLevel="3" x14ac:dyDescent="0.45">
      <c r="A24" s="14">
        <v>45580</v>
      </c>
      <c r="B24" s="5" t="s">
        <v>193</v>
      </c>
      <c r="C24" s="7">
        <v>1200</v>
      </c>
      <c r="D24" s="5">
        <v>20</v>
      </c>
      <c r="E24" s="7">
        <v>24000</v>
      </c>
      <c r="F24" s="5" t="s">
        <v>184</v>
      </c>
    </row>
    <row r="25" spans="1:6" outlineLevel="3" x14ac:dyDescent="0.45">
      <c r="A25" s="14">
        <v>45574</v>
      </c>
      <c r="B25" s="5" t="s">
        <v>193</v>
      </c>
      <c r="C25" s="7">
        <v>1200</v>
      </c>
      <c r="D25" s="5">
        <v>60</v>
      </c>
      <c r="E25" s="7">
        <v>72000</v>
      </c>
      <c r="F25" s="5" t="s">
        <v>184</v>
      </c>
    </row>
    <row r="26" spans="1:6" outlineLevel="2" x14ac:dyDescent="0.45">
      <c r="A26" s="26"/>
      <c r="B26" s="28" t="s">
        <v>264</v>
      </c>
      <c r="C26" s="27"/>
      <c r="D26" s="1"/>
      <c r="E26" s="27">
        <f>SUBTOTAL(4,E24:E25)</f>
        <v>72000</v>
      </c>
      <c r="F26" s="1"/>
    </row>
    <row r="27" spans="1:6" outlineLevel="1" x14ac:dyDescent="0.45">
      <c r="A27" s="26"/>
      <c r="B27" s="28" t="s">
        <v>259</v>
      </c>
      <c r="C27" s="27"/>
      <c r="D27" s="1">
        <f>SUBTOTAL(9,D24:D25)</f>
        <v>80</v>
      </c>
      <c r="E27" s="27"/>
      <c r="F27" s="1"/>
    </row>
    <row r="28" spans="1:6" x14ac:dyDescent="0.45">
      <c r="A28" s="26"/>
      <c r="B28" s="28" t="s">
        <v>265</v>
      </c>
      <c r="C28" s="27"/>
      <c r="D28" s="1"/>
      <c r="E28" s="27">
        <f>SUBTOTAL(4,E4:E25)</f>
        <v>800000</v>
      </c>
      <c r="F28" s="1"/>
    </row>
    <row r="29" spans="1:6" x14ac:dyDescent="0.45">
      <c r="A29" s="26"/>
      <c r="B29" s="28" t="s">
        <v>260</v>
      </c>
      <c r="C29" s="27"/>
      <c r="D29" s="1">
        <f>SUBTOTAL(9,D4:D25)</f>
        <v>265</v>
      </c>
      <c r="E29" s="27"/>
      <c r="F29" s="1"/>
    </row>
  </sheetData>
  <sortState xmlns:xlrd2="http://schemas.microsoft.com/office/spreadsheetml/2017/richdata2" ref="A4:F25">
    <sortCondition descending="1" ref="B4:B25"/>
  </sortState>
  <mergeCells count="1">
    <mergeCell ref="A1:F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43E68-75EA-4C00-9EFF-C570F1E2AB80}">
  <dimension ref="A1:E19"/>
  <sheetViews>
    <sheetView workbookViewId="0">
      <selection sqref="A1:E1"/>
    </sheetView>
  </sheetViews>
  <sheetFormatPr defaultRowHeight="17" x14ac:dyDescent="0.45"/>
  <cols>
    <col min="1" max="1" width="14.5" bestFit="1" customWidth="1"/>
    <col min="2" max="2" width="11.4140625" bestFit="1" customWidth="1"/>
    <col min="3" max="5" width="5" bestFit="1" customWidth="1"/>
    <col min="6" max="6" width="6.83203125" bestFit="1" customWidth="1"/>
  </cols>
  <sheetData>
    <row r="1" spans="1:5" ht="21" x14ac:dyDescent="0.45">
      <c r="A1" s="51" t="s">
        <v>194</v>
      </c>
      <c r="B1" s="51"/>
      <c r="C1" s="51"/>
      <c r="D1" s="51"/>
      <c r="E1" s="51"/>
    </row>
    <row r="3" spans="1:5" x14ac:dyDescent="0.45">
      <c r="A3" s="39" t="s">
        <v>195</v>
      </c>
      <c r="B3" s="39" t="s">
        <v>47</v>
      </c>
      <c r="C3" s="39" t="s">
        <v>207</v>
      </c>
      <c r="D3" s="39" t="s">
        <v>1</v>
      </c>
      <c r="E3" s="39" t="s">
        <v>208</v>
      </c>
    </row>
    <row r="4" spans="1:5" x14ac:dyDescent="0.45">
      <c r="A4" s="39" t="s">
        <v>196</v>
      </c>
      <c r="B4" s="39" t="s">
        <v>197</v>
      </c>
      <c r="C4" s="13">
        <v>34051</v>
      </c>
      <c r="D4" s="39" t="s">
        <v>198</v>
      </c>
      <c r="E4" s="39">
        <v>30</v>
      </c>
    </row>
    <row r="5" spans="1:5" x14ac:dyDescent="0.45">
      <c r="A5" s="39" t="s">
        <v>63</v>
      </c>
      <c r="B5" s="39" t="s">
        <v>199</v>
      </c>
      <c r="C5" s="13">
        <v>38617</v>
      </c>
      <c r="D5" s="39" t="s">
        <v>200</v>
      </c>
      <c r="E5" s="39">
        <v>18</v>
      </c>
    </row>
    <row r="6" spans="1:5" x14ac:dyDescent="0.45">
      <c r="A6" s="39" t="s">
        <v>196</v>
      </c>
      <c r="B6" s="39" t="s">
        <v>201</v>
      </c>
      <c r="C6" s="13">
        <v>41550</v>
      </c>
      <c r="D6" s="39" t="s">
        <v>12</v>
      </c>
      <c r="E6" s="39">
        <v>10</v>
      </c>
    </row>
    <row r="7" spans="1:5" x14ac:dyDescent="0.45">
      <c r="A7" s="39" t="s">
        <v>63</v>
      </c>
      <c r="B7" s="39" t="s">
        <v>202</v>
      </c>
      <c r="C7" s="13">
        <v>44451</v>
      </c>
      <c r="D7" s="39" t="s">
        <v>17</v>
      </c>
      <c r="E7" s="39">
        <v>2</v>
      </c>
    </row>
    <row r="8" spans="1:5" x14ac:dyDescent="0.45">
      <c r="A8" s="39" t="s">
        <v>63</v>
      </c>
      <c r="B8" s="39" t="s">
        <v>203</v>
      </c>
      <c r="C8" s="13">
        <v>38983</v>
      </c>
      <c r="D8" s="39" t="s">
        <v>200</v>
      </c>
      <c r="E8" s="39">
        <v>17</v>
      </c>
    </row>
    <row r="9" spans="1:5" x14ac:dyDescent="0.45">
      <c r="A9" s="39" t="s">
        <v>196</v>
      </c>
      <c r="B9" s="39" t="s">
        <v>204</v>
      </c>
      <c r="C9" s="13">
        <v>44703</v>
      </c>
      <c r="D9" s="39" t="s">
        <v>17</v>
      </c>
      <c r="E9" s="39">
        <v>1</v>
      </c>
    </row>
    <row r="10" spans="1:5" x14ac:dyDescent="0.45">
      <c r="A10" s="39" t="s">
        <v>63</v>
      </c>
      <c r="B10" s="39" t="s">
        <v>205</v>
      </c>
      <c r="C10" s="13">
        <v>41163</v>
      </c>
      <c r="D10" s="39" t="s">
        <v>12</v>
      </c>
      <c r="E10" s="39">
        <v>11</v>
      </c>
    </row>
    <row r="11" spans="1:5" x14ac:dyDescent="0.45">
      <c r="A11" s="39" t="s">
        <v>196</v>
      </c>
      <c r="B11" s="39" t="s">
        <v>206</v>
      </c>
      <c r="C11" s="13">
        <v>38266</v>
      </c>
      <c r="D11" s="39" t="s">
        <v>200</v>
      </c>
      <c r="E11" s="39">
        <v>19</v>
      </c>
    </row>
    <row r="14" spans="1:5" x14ac:dyDescent="0.45">
      <c r="A14" s="29" t="s">
        <v>47</v>
      </c>
      <c r="B14" t="s">
        <v>273</v>
      </c>
    </row>
    <row r="16" spans="1:5" x14ac:dyDescent="0.45">
      <c r="A16" s="29" t="s">
        <v>276</v>
      </c>
      <c r="B16" s="29" t="s">
        <v>275</v>
      </c>
    </row>
    <row r="17" spans="1:5" x14ac:dyDescent="0.45">
      <c r="A17" s="29" t="s">
        <v>274</v>
      </c>
      <c r="B17" t="s">
        <v>12</v>
      </c>
      <c r="C17" t="s">
        <v>200</v>
      </c>
      <c r="D17" t="s">
        <v>17</v>
      </c>
      <c r="E17" t="s">
        <v>198</v>
      </c>
    </row>
    <row r="18" spans="1:5" x14ac:dyDescent="0.45">
      <c r="A18" s="30" t="s">
        <v>196</v>
      </c>
      <c r="B18" s="48">
        <v>10</v>
      </c>
      <c r="C18" s="48">
        <v>19</v>
      </c>
      <c r="D18" s="48">
        <v>1</v>
      </c>
      <c r="E18" s="48">
        <v>30</v>
      </c>
    </row>
    <row r="19" spans="1:5" x14ac:dyDescent="0.45">
      <c r="A19" s="30" t="s">
        <v>63</v>
      </c>
      <c r="B19" s="48">
        <v>11</v>
      </c>
      <c r="C19" s="48">
        <v>17</v>
      </c>
      <c r="D19" s="48">
        <v>2</v>
      </c>
      <c r="E19" s="48"/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1B322-9996-4BBA-A082-67647FC3DD9E}">
  <sheetPr>
    <outlinePr summaryBelow="0"/>
  </sheetPr>
  <dimension ref="B1:G11"/>
  <sheetViews>
    <sheetView showGridLines="0" workbookViewId="0"/>
  </sheetViews>
  <sheetFormatPr defaultRowHeight="17" outlineLevelRow="1" outlineLevelCol="1" x14ac:dyDescent="0.45"/>
  <cols>
    <col min="3" max="3" width="14.33203125" bestFit="1" customWidth="1"/>
    <col min="4" max="7" width="15.4140625" bestFit="1" customWidth="1" outlineLevel="1"/>
  </cols>
  <sheetData>
    <row r="1" spans="2:7" ht="17.5" thickBot="1" x14ac:dyDescent="0.5"/>
    <row r="2" spans="2:7" x14ac:dyDescent="0.45">
      <c r="B2" s="32" t="s">
        <v>281</v>
      </c>
      <c r="C2" s="33"/>
      <c r="D2" s="37"/>
      <c r="E2" s="37"/>
      <c r="F2" s="37"/>
      <c r="G2" s="37"/>
    </row>
    <row r="3" spans="2:7" collapsed="1" x14ac:dyDescent="0.45">
      <c r="B3" s="31"/>
      <c r="C3" s="31"/>
      <c r="D3" s="38" t="s">
        <v>283</v>
      </c>
      <c r="E3" s="38" t="s">
        <v>279</v>
      </c>
      <c r="F3" s="38" t="s">
        <v>294</v>
      </c>
      <c r="G3" s="38" t="s">
        <v>280</v>
      </c>
    </row>
    <row r="4" spans="2:7" hidden="1" outlineLevel="1" x14ac:dyDescent="0.45">
      <c r="B4" s="44"/>
      <c r="C4" s="44"/>
      <c r="D4" s="40"/>
      <c r="E4" s="46"/>
      <c r="F4" s="47"/>
      <c r="G4" s="46"/>
    </row>
    <row r="5" spans="2:7" x14ac:dyDescent="0.45">
      <c r="B5" s="34" t="s">
        <v>282</v>
      </c>
      <c r="C5" s="35"/>
      <c r="D5" s="43"/>
      <c r="E5" s="43"/>
      <c r="F5" s="43"/>
      <c r="G5" s="43"/>
    </row>
    <row r="6" spans="2:7" outlineLevel="1" x14ac:dyDescent="0.45">
      <c r="B6" s="44"/>
      <c r="C6" s="44" t="s">
        <v>277</v>
      </c>
      <c r="D6" s="41">
        <v>0.15</v>
      </c>
      <c r="E6" s="45">
        <v>0.2</v>
      </c>
      <c r="F6" s="45">
        <v>0.25</v>
      </c>
      <c r="G6" s="45">
        <v>0.3</v>
      </c>
    </row>
    <row r="7" spans="2:7" x14ac:dyDescent="0.45">
      <c r="B7" s="34" t="s">
        <v>284</v>
      </c>
      <c r="C7" s="35"/>
      <c r="D7" s="43"/>
      <c r="E7" s="43"/>
      <c r="F7" s="43"/>
      <c r="G7" s="43"/>
    </row>
    <row r="8" spans="2:7" ht="17.5" outlineLevel="1" thickBot="1" x14ac:dyDescent="0.5">
      <c r="B8" s="36"/>
      <c r="C8" s="36" t="s">
        <v>278</v>
      </c>
      <c r="D8" s="42">
        <v>186523.61111111101</v>
      </c>
      <c r="E8" s="42">
        <v>194633.33333333299</v>
      </c>
      <c r="F8" s="42">
        <v>202743.055555556</v>
      </c>
      <c r="G8" s="42">
        <v>210852.77777777801</v>
      </c>
    </row>
    <row r="9" spans="2:7" x14ac:dyDescent="0.45">
      <c r="B9" t="s">
        <v>285</v>
      </c>
    </row>
    <row r="10" spans="2:7" x14ac:dyDescent="0.45">
      <c r="B10" t="s">
        <v>286</v>
      </c>
    </row>
    <row r="11" spans="2:7" x14ac:dyDescent="0.45">
      <c r="B11" t="s">
        <v>287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240C7-BE3E-4DA2-8A4F-F5DC16179D1E}">
  <dimension ref="A1:H14"/>
  <sheetViews>
    <sheetView workbookViewId="0">
      <selection sqref="A1:H1"/>
    </sheetView>
  </sheetViews>
  <sheetFormatPr defaultRowHeight="17" x14ac:dyDescent="0.45"/>
  <cols>
    <col min="1" max="1" width="10.4140625" bestFit="1" customWidth="1"/>
    <col min="3" max="4" width="10.4140625" bestFit="1" customWidth="1"/>
    <col min="7" max="7" width="9.08203125" bestFit="1" customWidth="1"/>
    <col min="8" max="8" width="10.4140625" bestFit="1" customWidth="1"/>
  </cols>
  <sheetData>
    <row r="1" spans="1:8" ht="21" x14ac:dyDescent="0.45">
      <c r="A1" s="51" t="s">
        <v>209</v>
      </c>
      <c r="B1" s="51"/>
      <c r="C1" s="51"/>
      <c r="D1" s="51"/>
      <c r="E1" s="51"/>
      <c r="F1" s="51"/>
      <c r="G1" s="51"/>
      <c r="H1" s="51"/>
    </row>
    <row r="2" spans="1:8" x14ac:dyDescent="0.45">
      <c r="A2" t="s">
        <v>211</v>
      </c>
      <c r="B2" s="9">
        <v>0.1</v>
      </c>
      <c r="C2" s="9">
        <v>0</v>
      </c>
    </row>
    <row r="3" spans="1:8" x14ac:dyDescent="0.45">
      <c r="A3" t="s">
        <v>212</v>
      </c>
      <c r="B3" s="9">
        <v>0.15</v>
      </c>
      <c r="C3" s="1"/>
    </row>
    <row r="4" spans="1:8" x14ac:dyDescent="0.45">
      <c r="A4" s="5" t="s">
        <v>213</v>
      </c>
      <c r="B4" s="5" t="s">
        <v>214</v>
      </c>
      <c r="C4" s="5" t="s">
        <v>215</v>
      </c>
      <c r="D4" s="5" t="s">
        <v>216</v>
      </c>
      <c r="E4" s="5" t="s">
        <v>217</v>
      </c>
      <c r="F4" s="5" t="s">
        <v>210</v>
      </c>
      <c r="G4" s="5" t="s">
        <v>218</v>
      </c>
      <c r="H4" s="5" t="s">
        <v>219</v>
      </c>
    </row>
    <row r="5" spans="1:8" x14ac:dyDescent="0.45">
      <c r="A5" s="15">
        <v>45538</v>
      </c>
      <c r="B5" s="5" t="s">
        <v>220</v>
      </c>
      <c r="C5" s="5" t="s">
        <v>221</v>
      </c>
      <c r="D5" s="5">
        <f>IF(C5="오렌지가공",200,IF(C5="포도가공",300,250))</f>
        <v>200</v>
      </c>
      <c r="E5" s="5">
        <v>800</v>
      </c>
      <c r="F5" s="11">
        <f>IF(E5&gt;=750,$B$2,$C$2)</f>
        <v>0.1</v>
      </c>
      <c r="G5" s="7">
        <f>D5*E5*(1-F5)</f>
        <v>144000</v>
      </c>
      <c r="H5" s="7">
        <f>G5*(1+$B$3)</f>
        <v>165600</v>
      </c>
    </row>
    <row r="6" spans="1:8" x14ac:dyDescent="0.45">
      <c r="A6" s="15">
        <v>45539</v>
      </c>
      <c r="B6" s="5" t="s">
        <v>222</v>
      </c>
      <c r="C6" s="5" t="s">
        <v>223</v>
      </c>
      <c r="D6" s="5">
        <f t="shared" ref="D6:D13" si="0">IF(C6="오렌지가공",200,IF(C6="포도가공",300,250))</f>
        <v>300</v>
      </c>
      <c r="E6" s="5">
        <v>500</v>
      </c>
      <c r="F6" s="11">
        <f t="shared" ref="F6:F13" si="1">IF(E6&gt;=750,$B$2,$C$2)</f>
        <v>0</v>
      </c>
      <c r="G6" s="7">
        <f t="shared" ref="G6:G13" si="2">D6*E6*(1-F6)</f>
        <v>150000</v>
      </c>
      <c r="H6" s="7">
        <f t="shared" ref="H6:H13" si="3">G6*(1+$B$3)</f>
        <v>172500</v>
      </c>
    </row>
    <row r="7" spans="1:8" x14ac:dyDescent="0.45">
      <c r="A7" s="15">
        <v>45540</v>
      </c>
      <c r="B7" s="5" t="s">
        <v>224</v>
      </c>
      <c r="C7" s="5" t="s">
        <v>225</v>
      </c>
      <c r="D7" s="5">
        <f t="shared" si="0"/>
        <v>250</v>
      </c>
      <c r="E7" s="5">
        <v>700</v>
      </c>
      <c r="F7" s="11">
        <f t="shared" si="1"/>
        <v>0</v>
      </c>
      <c r="G7" s="7">
        <f t="shared" si="2"/>
        <v>175000</v>
      </c>
      <c r="H7" s="7">
        <f t="shared" si="3"/>
        <v>201249.99999999997</v>
      </c>
    </row>
    <row r="8" spans="1:8" x14ac:dyDescent="0.45">
      <c r="A8" s="15">
        <v>45541</v>
      </c>
      <c r="B8" s="5" t="s">
        <v>220</v>
      </c>
      <c r="C8" s="5" t="s">
        <v>221</v>
      </c>
      <c r="D8" s="5">
        <f t="shared" si="0"/>
        <v>200</v>
      </c>
      <c r="E8" s="5">
        <v>900</v>
      </c>
      <c r="F8" s="11">
        <f t="shared" si="1"/>
        <v>0.1</v>
      </c>
      <c r="G8" s="7">
        <f t="shared" si="2"/>
        <v>162000</v>
      </c>
      <c r="H8" s="7">
        <f t="shared" si="3"/>
        <v>186300</v>
      </c>
    </row>
    <row r="9" spans="1:8" x14ac:dyDescent="0.45">
      <c r="A9" s="15">
        <v>45542</v>
      </c>
      <c r="B9" s="5" t="s">
        <v>222</v>
      </c>
      <c r="C9" s="5" t="s">
        <v>223</v>
      </c>
      <c r="D9" s="5">
        <f t="shared" si="0"/>
        <v>300</v>
      </c>
      <c r="E9" s="5">
        <v>600</v>
      </c>
      <c r="F9" s="11">
        <f t="shared" si="1"/>
        <v>0</v>
      </c>
      <c r="G9" s="7">
        <f t="shared" si="2"/>
        <v>180000</v>
      </c>
      <c r="H9" s="7">
        <f t="shared" si="3"/>
        <v>206999.99999999997</v>
      </c>
    </row>
    <row r="10" spans="1:8" x14ac:dyDescent="0.45">
      <c r="A10" s="15">
        <v>45543</v>
      </c>
      <c r="B10" s="5" t="s">
        <v>224</v>
      </c>
      <c r="C10" s="5" t="s">
        <v>225</v>
      </c>
      <c r="D10" s="5">
        <f t="shared" si="0"/>
        <v>250</v>
      </c>
      <c r="E10" s="5">
        <v>800</v>
      </c>
      <c r="F10" s="11">
        <f t="shared" si="1"/>
        <v>0.1</v>
      </c>
      <c r="G10" s="7">
        <f t="shared" si="2"/>
        <v>180000</v>
      </c>
      <c r="H10" s="7">
        <f t="shared" si="3"/>
        <v>206999.99999999997</v>
      </c>
    </row>
    <row r="11" spans="1:8" x14ac:dyDescent="0.45">
      <c r="A11" s="15">
        <v>45544</v>
      </c>
      <c r="B11" s="5" t="s">
        <v>220</v>
      </c>
      <c r="C11" s="5" t="s">
        <v>221</v>
      </c>
      <c r="D11" s="5">
        <f t="shared" si="0"/>
        <v>200</v>
      </c>
      <c r="E11" s="5">
        <v>750</v>
      </c>
      <c r="F11" s="11">
        <f t="shared" si="1"/>
        <v>0.1</v>
      </c>
      <c r="G11" s="7">
        <f t="shared" si="2"/>
        <v>135000</v>
      </c>
      <c r="H11" s="7">
        <f t="shared" si="3"/>
        <v>155250</v>
      </c>
    </row>
    <row r="12" spans="1:8" x14ac:dyDescent="0.45">
      <c r="A12" s="15">
        <v>45545</v>
      </c>
      <c r="B12" s="5" t="s">
        <v>222</v>
      </c>
      <c r="C12" s="5" t="s">
        <v>223</v>
      </c>
      <c r="D12" s="5">
        <f t="shared" si="0"/>
        <v>300</v>
      </c>
      <c r="E12" s="5">
        <v>550</v>
      </c>
      <c r="F12" s="11">
        <f t="shared" si="1"/>
        <v>0</v>
      </c>
      <c r="G12" s="7">
        <f t="shared" si="2"/>
        <v>165000</v>
      </c>
      <c r="H12" s="7">
        <f t="shared" si="3"/>
        <v>189749.99999999997</v>
      </c>
    </row>
    <row r="13" spans="1:8" x14ac:dyDescent="0.45">
      <c r="A13" s="15">
        <v>45546</v>
      </c>
      <c r="B13" s="5" t="s">
        <v>224</v>
      </c>
      <c r="C13" s="5" t="s">
        <v>225</v>
      </c>
      <c r="D13" s="5">
        <f t="shared" si="0"/>
        <v>250</v>
      </c>
      <c r="E13" s="5">
        <v>750</v>
      </c>
      <c r="F13" s="11">
        <f t="shared" si="1"/>
        <v>0.1</v>
      </c>
      <c r="G13" s="7">
        <f t="shared" si="2"/>
        <v>168750</v>
      </c>
      <c r="H13" s="7">
        <f t="shared" si="3"/>
        <v>194062.49999999997</v>
      </c>
    </row>
    <row r="14" spans="1:8" x14ac:dyDescent="0.45">
      <c r="A14" s="55" t="s">
        <v>227</v>
      </c>
      <c r="B14" s="56"/>
      <c r="C14" s="56"/>
      <c r="D14" s="56"/>
      <c r="E14" s="56"/>
      <c r="F14" s="57"/>
      <c r="G14" s="16">
        <f>AVERAGE(G5:G13)</f>
        <v>162194.44444444444</v>
      </c>
      <c r="H14" s="16">
        <f>AVERAGE(H5:H13)</f>
        <v>186523.61111111112</v>
      </c>
    </row>
  </sheetData>
  <scenarios current="1" sqref="H14">
    <scenario name="목표수익률증가1" locked="1" count="1" user="김종일">
      <inputCells r="B3" val="0.2" numFmtId="9"/>
    </scenario>
    <scenario name="목표수익률증가2" locked="1" count="1" user="김종일">
      <inputCells r="B3" val="0.25" numFmtId="9"/>
    </scenario>
    <scenario name="목표수익률증가3" locked="1" count="1" user="김종일">
      <inputCells r="B3" val="0.3" numFmtId="9"/>
    </scenario>
  </scenarios>
  <mergeCells count="2">
    <mergeCell ref="A1:H1"/>
    <mergeCell ref="A14:F14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dimension ref="A1:E12"/>
  <sheetViews>
    <sheetView workbookViewId="0">
      <selection sqref="A1:E1"/>
    </sheetView>
  </sheetViews>
  <sheetFormatPr defaultRowHeight="17" x14ac:dyDescent="0.45"/>
  <cols>
    <col min="6" max="6" width="5.58203125" customWidth="1"/>
  </cols>
  <sheetData>
    <row r="1" spans="1:5" ht="21" x14ac:dyDescent="0.45">
      <c r="A1" s="51" t="s">
        <v>228</v>
      </c>
      <c r="B1" s="51"/>
      <c r="C1" s="51"/>
      <c r="D1" s="51"/>
      <c r="E1" s="51"/>
    </row>
    <row r="3" spans="1:5" x14ac:dyDescent="0.45">
      <c r="A3" s="5" t="s">
        <v>229</v>
      </c>
      <c r="B3" s="5" t="s">
        <v>230</v>
      </c>
      <c r="C3" s="5" t="s">
        <v>231</v>
      </c>
      <c r="D3" s="5" t="s">
        <v>232</v>
      </c>
      <c r="E3" s="5" t="s">
        <v>226</v>
      </c>
    </row>
    <row r="4" spans="1:5" x14ac:dyDescent="0.45">
      <c r="A4" s="5" t="s">
        <v>233</v>
      </c>
      <c r="B4" s="5">
        <v>86</v>
      </c>
      <c r="C4" s="5">
        <v>88</v>
      </c>
      <c r="D4" s="5">
        <v>91</v>
      </c>
      <c r="E4" s="19">
        <f>AVERAGE(B4:D4)</f>
        <v>88.333333333333329</v>
      </c>
    </row>
    <row r="5" spans="1:5" x14ac:dyDescent="0.45">
      <c r="A5" s="5" t="s">
        <v>234</v>
      </c>
      <c r="B5" s="5">
        <v>67</v>
      </c>
      <c r="C5" s="5">
        <v>83</v>
      </c>
      <c r="D5" s="5">
        <v>75</v>
      </c>
      <c r="E5" s="19">
        <f t="shared" ref="E5:E12" si="0">AVERAGE(B5:D5)</f>
        <v>75</v>
      </c>
    </row>
    <row r="6" spans="1:5" x14ac:dyDescent="0.45">
      <c r="A6" s="5" t="s">
        <v>235</v>
      </c>
      <c r="B6" s="5">
        <v>68</v>
      </c>
      <c r="C6" s="5">
        <v>55</v>
      </c>
      <c r="D6" s="5">
        <v>62</v>
      </c>
      <c r="E6" s="19">
        <f t="shared" si="0"/>
        <v>61.666666666666664</v>
      </c>
    </row>
    <row r="7" spans="1:5" x14ac:dyDescent="0.45">
      <c r="A7" s="5" t="s">
        <v>236</v>
      </c>
      <c r="B7" s="5">
        <v>94</v>
      </c>
      <c r="C7" s="5">
        <v>92</v>
      </c>
      <c r="D7" s="5">
        <v>95</v>
      </c>
      <c r="E7" s="19">
        <f t="shared" si="0"/>
        <v>93.666666666666671</v>
      </c>
    </row>
    <row r="8" spans="1:5" x14ac:dyDescent="0.45">
      <c r="A8" s="5" t="s">
        <v>237</v>
      </c>
      <c r="B8" s="5">
        <v>92</v>
      </c>
      <c r="C8" s="5">
        <v>90</v>
      </c>
      <c r="D8" s="5">
        <v>91</v>
      </c>
      <c r="E8" s="19">
        <f t="shared" si="0"/>
        <v>91</v>
      </c>
    </row>
    <row r="9" spans="1:5" x14ac:dyDescent="0.45">
      <c r="A9" s="5" t="s">
        <v>238</v>
      </c>
      <c r="B9" s="5">
        <v>78</v>
      </c>
      <c r="C9" s="5">
        <v>81</v>
      </c>
      <c r="D9" s="5">
        <v>80</v>
      </c>
      <c r="E9" s="19">
        <f t="shared" si="0"/>
        <v>79.666666666666671</v>
      </c>
    </row>
    <row r="10" spans="1:5" x14ac:dyDescent="0.45">
      <c r="A10" s="5" t="s">
        <v>239</v>
      </c>
      <c r="B10" s="5">
        <v>90</v>
      </c>
      <c r="C10" s="5">
        <v>85</v>
      </c>
      <c r="D10" s="5">
        <v>87</v>
      </c>
      <c r="E10" s="19">
        <f t="shared" si="0"/>
        <v>87.333333333333329</v>
      </c>
    </row>
    <row r="11" spans="1:5" x14ac:dyDescent="0.45">
      <c r="A11" s="5" t="s">
        <v>240</v>
      </c>
      <c r="B11" s="5">
        <v>82</v>
      </c>
      <c r="C11" s="5">
        <v>85</v>
      </c>
      <c r="D11" s="5">
        <v>79</v>
      </c>
      <c r="E11" s="19">
        <f t="shared" si="0"/>
        <v>82</v>
      </c>
    </row>
    <row r="12" spans="1:5" x14ac:dyDescent="0.45">
      <c r="A12" s="5" t="s">
        <v>241</v>
      </c>
      <c r="B12" s="5">
        <v>79</v>
      </c>
      <c r="C12" s="5">
        <v>86</v>
      </c>
      <c r="D12" s="5">
        <v>82</v>
      </c>
      <c r="E12" s="19">
        <f t="shared" si="0"/>
        <v>82.333333333333329</v>
      </c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평균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3BA1-4B3D-4054-B67D-E65B64F89924}">
  <dimension ref="A1:E11"/>
  <sheetViews>
    <sheetView workbookViewId="0">
      <selection sqref="A1:E1"/>
    </sheetView>
  </sheetViews>
  <sheetFormatPr defaultRowHeight="17" x14ac:dyDescent="0.45"/>
  <sheetData>
    <row r="1" spans="1:5" ht="21" x14ac:dyDescent="0.45">
      <c r="A1" s="51" t="s">
        <v>242</v>
      </c>
      <c r="B1" s="51"/>
      <c r="C1" s="51"/>
      <c r="D1" s="51"/>
      <c r="E1" s="51"/>
    </row>
    <row r="2" spans="1:5" x14ac:dyDescent="0.45">
      <c r="E2" s="17" t="s">
        <v>243</v>
      </c>
    </row>
    <row r="3" spans="1:5" x14ac:dyDescent="0.45">
      <c r="A3" s="5" t="s">
        <v>244</v>
      </c>
      <c r="B3" s="5" t="s">
        <v>245</v>
      </c>
      <c r="C3" s="5" t="s">
        <v>246</v>
      </c>
      <c r="D3" s="5" t="s">
        <v>247</v>
      </c>
      <c r="E3" s="5" t="s">
        <v>248</v>
      </c>
    </row>
    <row r="4" spans="1:5" x14ac:dyDescent="0.45">
      <c r="A4" s="5">
        <v>1</v>
      </c>
      <c r="B4" s="5" t="s">
        <v>249</v>
      </c>
      <c r="C4" s="5">
        <v>9</v>
      </c>
      <c r="D4" s="5">
        <v>7</v>
      </c>
      <c r="E4" s="12">
        <v>1680</v>
      </c>
    </row>
    <row r="5" spans="1:5" x14ac:dyDescent="0.45">
      <c r="A5" s="5">
        <v>2</v>
      </c>
      <c r="B5" s="5" t="s">
        <v>288</v>
      </c>
      <c r="C5" s="5">
        <v>5</v>
      </c>
      <c r="D5" s="5">
        <v>2</v>
      </c>
      <c r="E5" s="12">
        <v>300</v>
      </c>
    </row>
    <row r="6" spans="1:5" x14ac:dyDescent="0.45">
      <c r="A6" s="5">
        <v>3</v>
      </c>
      <c r="B6" s="5" t="s">
        <v>289</v>
      </c>
      <c r="C6" s="5">
        <v>11</v>
      </c>
      <c r="D6" s="5">
        <v>15</v>
      </c>
      <c r="E6" s="12">
        <v>5400</v>
      </c>
    </row>
    <row r="7" spans="1:5" x14ac:dyDescent="0.45">
      <c r="A7" s="5">
        <v>4</v>
      </c>
      <c r="B7" s="5" t="s">
        <v>293</v>
      </c>
      <c r="C7" s="5">
        <v>14</v>
      </c>
      <c r="D7" s="5">
        <v>14</v>
      </c>
      <c r="E7" s="12">
        <v>5880</v>
      </c>
    </row>
    <row r="8" spans="1:5" x14ac:dyDescent="0.45">
      <c r="A8" s="5">
        <v>5</v>
      </c>
      <c r="B8" s="5" t="s">
        <v>250</v>
      </c>
      <c r="C8" s="5">
        <v>7</v>
      </c>
      <c r="D8" s="5">
        <v>20</v>
      </c>
      <c r="E8" s="12">
        <v>6000</v>
      </c>
    </row>
    <row r="9" spans="1:5" x14ac:dyDescent="0.45">
      <c r="A9" s="5">
        <v>6</v>
      </c>
      <c r="B9" s="5" t="s">
        <v>290</v>
      </c>
      <c r="C9" s="5">
        <v>17</v>
      </c>
      <c r="D9" s="5">
        <v>23</v>
      </c>
      <c r="E9" s="12">
        <v>12650</v>
      </c>
    </row>
    <row r="10" spans="1:5" x14ac:dyDescent="0.45">
      <c r="A10" s="5">
        <v>7</v>
      </c>
      <c r="B10" s="5" t="s">
        <v>291</v>
      </c>
      <c r="C10" s="5">
        <v>12</v>
      </c>
      <c r="D10" s="5">
        <v>10</v>
      </c>
      <c r="E10" s="12">
        <v>7800</v>
      </c>
    </row>
    <row r="11" spans="1:5" x14ac:dyDescent="0.45">
      <c r="A11" s="5">
        <v>8</v>
      </c>
      <c r="B11" s="5" t="s">
        <v>292</v>
      </c>
      <c r="C11" s="5">
        <v>19</v>
      </c>
      <c r="D11" s="5">
        <v>15</v>
      </c>
      <c r="E11" s="12">
        <v>10050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4</vt:i4>
      </vt:variant>
    </vt:vector>
  </HeadingPairs>
  <TitlesOfParts>
    <vt:vector size="15" baseType="lpstr">
      <vt:lpstr>기본작업-1</vt:lpstr>
      <vt:lpstr>기본작업-2</vt:lpstr>
      <vt:lpstr>기본작업-3</vt:lpstr>
      <vt:lpstr>기본작업-4</vt:lpstr>
      <vt:lpstr>계산작업</vt:lpstr>
      <vt:lpstr>분석작업-1</vt:lpstr>
      <vt:lpstr>분석작업-2</vt:lpstr>
      <vt:lpstr>시나리오 요약</vt:lpstr>
      <vt:lpstr>분석작업-3</vt:lpstr>
      <vt:lpstr>매크로작업</vt:lpstr>
      <vt:lpstr>차트작업</vt:lpstr>
      <vt:lpstr>'기본작업-4'!Criteria</vt:lpstr>
      <vt:lpstr>'기본작업-4'!Extract</vt:lpstr>
      <vt:lpstr>목표매출액평균</vt:lpstr>
      <vt:lpstr>목표수익률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2024-09-02T08:27:02Z</dcterms:modified>
</cp:coreProperties>
</file>