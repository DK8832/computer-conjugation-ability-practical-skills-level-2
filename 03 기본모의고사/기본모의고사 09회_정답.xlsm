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9_2025\07_컴활2급실기\길벗컴활2급\03 기본모의고사\"/>
    </mc:Choice>
  </mc:AlternateContent>
  <xr:revisionPtr revIDLastSave="0" documentId="13_ncr:1_{19235EC3-7289-43A3-9F4D-CBEDA7D0178B}" xr6:coauthVersionLast="47" xr6:coauthVersionMax="47" xr10:uidLastSave="{00000000-0000-0000-0000-000000000000}"/>
  <bookViews>
    <workbookView xWindow="-37300" yWindow="1360" windowWidth="29240" windowHeight="18690" tabRatio="723" xr2:uid="{1EA7D4BC-0E71-467A-81F4-8371BAA0CFDB}"/>
  </bookViews>
  <sheets>
    <sheet name="기본작업-1" sheetId="1" r:id="rId1"/>
    <sheet name="기본작업-2" sheetId="2" r:id="rId2"/>
    <sheet name="기본작업-3" sheetId="3" r:id="rId3"/>
    <sheet name="기본작업-4" sheetId="9" r:id="rId4"/>
    <sheet name="계산작업" sheetId="4" r:id="rId5"/>
    <sheet name="분석작업-1" sheetId="5" r:id="rId6"/>
    <sheet name="분석작업-2" sheetId="6" r:id="rId7"/>
    <sheet name="분석작업-3" sheetId="11" r:id="rId8"/>
    <sheet name="매크로작업" sheetId="7" r:id="rId9"/>
    <sheet name="차트작업" sheetId="8" r:id="rId10"/>
  </sheets>
  <definedNames>
    <definedName name="_xlnm._FilterDatabase" localSheetId="3" hidden="1">'기본작업-4'!$A$3:$H$14</definedName>
    <definedName name="_xlnm.Criteria" localSheetId="3">'기본작업-4'!$A$17:$B$19</definedName>
    <definedName name="_xlnm.Extract" localSheetId="3">'기본작업-4'!$A$22:$H$22</definedName>
  </definedNames>
  <calcPr calcId="191029"/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2" i="7" l="1"/>
  <c r="E12" i="7"/>
  <c r="F12" i="7"/>
  <c r="C12" i="7"/>
  <c r="F4" i="11"/>
  <c r="G4" i="11" s="1"/>
  <c r="H4" i="11" s="1"/>
  <c r="F23" i="5" l="1"/>
  <c r="F15" i="5"/>
  <c r="F11" i="5"/>
  <c r="F25" i="5" s="1"/>
  <c r="E26" i="5"/>
  <c r="E24" i="5"/>
  <c r="E16" i="5"/>
  <c r="E12" i="5"/>
  <c r="H24" i="4" l="1"/>
  <c r="C12" i="4"/>
  <c r="H12" i="4"/>
  <c r="D28" i="4" l="1"/>
  <c r="D29" i="4"/>
  <c r="D30" i="4"/>
  <c r="D31" i="4"/>
  <c r="D32" i="4"/>
  <c r="D33" i="4"/>
  <c r="D34" i="4"/>
  <c r="D27" i="4"/>
  <c r="C17" i="4"/>
  <c r="C18" i="4"/>
  <c r="C19" i="4"/>
  <c r="C20" i="4"/>
  <c r="C21" i="4"/>
  <c r="C22" i="4"/>
  <c r="C23" i="4"/>
  <c r="C16" i="4"/>
  <c r="D10" i="8" l="1"/>
  <c r="C10" i="8"/>
  <c r="E5" i="7"/>
  <c r="F5" i="7" s="1"/>
  <c r="E6" i="7"/>
  <c r="E7" i="7"/>
  <c r="E8" i="7"/>
  <c r="E9" i="7"/>
  <c r="F9" i="7" s="1"/>
  <c r="E10" i="7"/>
  <c r="E11" i="7"/>
  <c r="F11" i="7" s="1"/>
  <c r="E4" i="7"/>
  <c r="F4" i="7" s="1"/>
  <c r="F6" i="7"/>
  <c r="F7" i="7"/>
  <c r="F8" i="7"/>
  <c r="F10" i="7"/>
  <c r="G6" i="7" l="1"/>
  <c r="G8" i="7"/>
  <c r="G4" i="7"/>
  <c r="G7" i="7"/>
  <c r="G9" i="7"/>
  <c r="G5" i="7"/>
  <c r="G10" i="7"/>
  <c r="G11" i="7"/>
</calcChain>
</file>

<file path=xl/sharedStrings.xml><?xml version="1.0" encoding="utf-8"?>
<sst xmlns="http://schemas.openxmlformats.org/spreadsheetml/2006/main" count="461" uniqueCount="305">
  <si>
    <t>한국상사의 사원 명부</t>
  </si>
  <si>
    <t>사원번호</t>
  </si>
  <si>
    <t>이름</t>
  </si>
  <si>
    <t>부서</t>
  </si>
  <si>
    <t>호봉</t>
  </si>
  <si>
    <t>급여</t>
  </si>
  <si>
    <t>전화번호</t>
  </si>
  <si>
    <t>BA-20003</t>
  </si>
  <si>
    <t>김미속</t>
  </si>
  <si>
    <t>010-656-8549</t>
  </si>
  <si>
    <t>BA-20005</t>
  </si>
  <si>
    <t>이관우</t>
  </si>
  <si>
    <t>생산부</t>
  </si>
  <si>
    <t>SH-10036</t>
  </si>
  <si>
    <t>이야망</t>
  </si>
  <si>
    <t>BA-20004</t>
  </si>
  <si>
    <t>장유비</t>
  </si>
  <si>
    <t>SH-10035</t>
  </si>
  <si>
    <t>제갈량</t>
  </si>
  <si>
    <t>[표1]</t>
  </si>
  <si>
    <t>성적표</t>
  </si>
  <si>
    <t>성별</t>
  </si>
  <si>
    <t>학과</t>
  </si>
  <si>
    <t>점수</t>
  </si>
  <si>
    <t>김성식</t>
  </si>
  <si>
    <t>남</t>
  </si>
  <si>
    <t>생물학과</t>
  </si>
  <si>
    <t>신유진</t>
  </si>
  <si>
    <t>여</t>
  </si>
  <si>
    <t>물리학과</t>
  </si>
  <si>
    <t>나한일</t>
  </si>
  <si>
    <t>박정아</t>
  </si>
  <si>
    <t>성진희</t>
  </si>
  <si>
    <t>이명호</t>
  </si>
  <si>
    <t>최진성</t>
  </si>
  <si>
    <t>학과최대평균점수</t>
  </si>
  <si>
    <t>[표3]</t>
  </si>
  <si>
    <t>상공홈쇼핑 배송현황</t>
  </si>
  <si>
    <t>고객명</t>
  </si>
  <si>
    <t>주문코드</t>
  </si>
  <si>
    <t>배송코드</t>
  </si>
  <si>
    <t>김동준</t>
  </si>
  <si>
    <t>유아영</t>
  </si>
  <si>
    <t>황진주</t>
  </si>
  <si>
    <t>박해수</t>
  </si>
  <si>
    <t>최대건</t>
  </si>
  <si>
    <t>김민서</t>
  </si>
  <si>
    <t>이가영</t>
  </si>
  <si>
    <t>권지향</t>
  </si>
  <si>
    <t xml:space="preserve"> cmk975  </t>
    <phoneticPr fontId="1" type="noConversion"/>
  </si>
  <si>
    <t xml:space="preserve">   fun227  </t>
    <phoneticPr fontId="1" type="noConversion"/>
  </si>
  <si>
    <t xml:space="preserve"> lsh684  </t>
    <phoneticPr fontId="1" type="noConversion"/>
  </si>
  <si>
    <t xml:space="preserve">  cmk143  </t>
    <phoneticPr fontId="1" type="noConversion"/>
  </si>
  <si>
    <t xml:space="preserve">   fun362  </t>
    <phoneticPr fontId="1" type="noConversion"/>
  </si>
  <si>
    <t xml:space="preserve"> cmk307  </t>
    <phoneticPr fontId="1" type="noConversion"/>
  </si>
  <si>
    <t xml:space="preserve">   lsh684  </t>
    <phoneticPr fontId="1" type="noConversion"/>
  </si>
  <si>
    <t xml:space="preserve">  fun491  </t>
    <phoneticPr fontId="1" type="noConversion"/>
  </si>
  <si>
    <t>[표4]</t>
  </si>
  <si>
    <t>직원별 실적</t>
  </si>
  <si>
    <t>사원명</t>
  </si>
  <si>
    <t>부서명</t>
  </si>
  <si>
    <t>직위</t>
  </si>
  <si>
    <t>판매량</t>
  </si>
  <si>
    <t>이경환</t>
  </si>
  <si>
    <t>영업A</t>
  </si>
  <si>
    <t>과장</t>
  </si>
  <si>
    <t>김지영</t>
  </si>
  <si>
    <t>영업B</t>
  </si>
  <si>
    <t>최고은</t>
  </si>
  <si>
    <t>대리</t>
  </si>
  <si>
    <t>유경남</t>
  </si>
  <si>
    <t>정진수</t>
  </si>
  <si>
    <t>오나라</t>
  </si>
  <si>
    <t>정해진</t>
  </si>
  <si>
    <t>사원</t>
  </si>
  <si>
    <t>김지해</t>
  </si>
  <si>
    <t>영업A 우수직원 판매량 평균</t>
  </si>
  <si>
    <t xml:space="preserve">[표5] </t>
  </si>
  <si>
    <t>신체검사결과</t>
  </si>
  <si>
    <t>성명</t>
  </si>
  <si>
    <t>신장(m)</t>
  </si>
  <si>
    <t>체중(kg)</t>
  </si>
  <si>
    <t>체질량지수</t>
  </si>
  <si>
    <t>이원철</t>
  </si>
  <si>
    <t>김민천</t>
  </si>
  <si>
    <t>고인숙</t>
  </si>
  <si>
    <t>박철수</t>
  </si>
  <si>
    <t>정은경</t>
  </si>
  <si>
    <t>이진녀</t>
  </si>
  <si>
    <t>김정민</t>
  </si>
  <si>
    <t>한국상사의 상품매입현황</t>
    <phoneticPr fontId="1" type="noConversion"/>
  </si>
  <si>
    <t>상품명</t>
  </si>
  <si>
    <t>재고액</t>
  </si>
  <si>
    <t xml:space="preserve"> 소계 </t>
  </si>
  <si>
    <t>매입처</t>
  </si>
  <si>
    <t>대림상사</t>
  </si>
  <si>
    <t>535-1254</t>
  </si>
  <si>
    <t>볼펜</t>
  </si>
  <si>
    <t>현대상사</t>
  </si>
  <si>
    <t>548-9652</t>
  </si>
  <si>
    <t>새한상사</t>
  </si>
  <si>
    <t>743-8562</t>
  </si>
  <si>
    <t>삼성상사</t>
  </si>
  <si>
    <t>548-7754</t>
  </si>
  <si>
    <t>파일</t>
  </si>
  <si>
    <t>대우상사</t>
  </si>
  <si>
    <t>775-4278</t>
  </si>
  <si>
    <t>가위</t>
    <phoneticPr fontId="1" type="noConversion"/>
  </si>
  <si>
    <t>포스트잇</t>
    <phoneticPr fontId="1" type="noConversion"/>
  </si>
  <si>
    <t>지점별 판매현황</t>
    <phoneticPr fontId="1" type="noConversion"/>
  </si>
  <si>
    <t>지점코드</t>
  </si>
  <si>
    <t>지점명</t>
  </si>
  <si>
    <t>지점장명</t>
  </si>
  <si>
    <t>휴대전화</t>
  </si>
  <si>
    <t>입고량</t>
  </si>
  <si>
    <t>재고량</t>
  </si>
  <si>
    <t>판매금액</t>
  </si>
  <si>
    <t>KA-100</t>
  </si>
  <si>
    <t>강릉</t>
  </si>
  <si>
    <t>010-0144-9534</t>
  </si>
  <si>
    <t>GW-200</t>
  </si>
  <si>
    <t>광주</t>
  </si>
  <si>
    <t>탁상공</t>
  </si>
  <si>
    <t>010-7818-4172</t>
  </si>
  <si>
    <t>DA-300</t>
  </si>
  <si>
    <t>대구</t>
  </si>
  <si>
    <t>010-9861-1955</t>
  </si>
  <si>
    <t>TA-400</t>
  </si>
  <si>
    <t>대전</t>
  </si>
  <si>
    <t>조달업</t>
  </si>
  <si>
    <t>010-2093-8023</t>
  </si>
  <si>
    <t>BU-500</t>
  </si>
  <si>
    <t>부산</t>
  </si>
  <si>
    <t>모상군</t>
  </si>
  <si>
    <t>010-0113-0719</t>
  </si>
  <si>
    <t>010-8254-8073</t>
  </si>
  <si>
    <t>박용성</t>
  </si>
  <si>
    <t>010-4314-8568</t>
  </si>
  <si>
    <t>010-4775-1812</t>
  </si>
  <si>
    <t>도라지</t>
  </si>
  <si>
    <t>010-9855-3333</t>
  </si>
  <si>
    <t>010-4595-3481</t>
  </si>
  <si>
    <t>010-1795-4447</t>
  </si>
  <si>
    <t>홍시진</t>
    <phoneticPr fontId="1" type="noConversion"/>
  </si>
  <si>
    <t>지승연</t>
    <phoneticPr fontId="1" type="noConversion"/>
  </si>
  <si>
    <t>최나라</t>
    <phoneticPr fontId="1" type="noConversion"/>
  </si>
  <si>
    <t>서성대</t>
    <phoneticPr fontId="1" type="noConversion"/>
  </si>
  <si>
    <t>김치국</t>
    <phoneticPr fontId="1" type="noConversion"/>
  </si>
  <si>
    <t>이자리</t>
    <phoneticPr fontId="1" type="noConversion"/>
  </si>
  <si>
    <t>급여명세 목록</t>
    <phoneticPr fontId="1" type="noConversion"/>
  </si>
  <si>
    <t>소속부서</t>
  </si>
  <si>
    <t>월급</t>
  </si>
  <si>
    <t>상여급</t>
  </si>
  <si>
    <t>강성실</t>
  </si>
  <si>
    <t>김성수</t>
  </si>
  <si>
    <t>총무부</t>
  </si>
  <si>
    <t>부장</t>
  </si>
  <si>
    <t>김영수</t>
  </si>
  <si>
    <t>김영철</t>
  </si>
  <si>
    <t>박경완</t>
  </si>
  <si>
    <t>영업부</t>
  </si>
  <si>
    <t>유석민</t>
  </si>
  <si>
    <t>유지환</t>
  </si>
  <si>
    <t>윤계열</t>
  </si>
  <si>
    <t>이병택</t>
  </si>
  <si>
    <t>임정수</t>
  </si>
  <si>
    <t>차태현</t>
  </si>
  <si>
    <t>최대근</t>
  </si>
  <si>
    <t>최재형</t>
  </si>
  <si>
    <t>최지원</t>
  </si>
  <si>
    <t>하용수</t>
  </si>
  <si>
    <t>부서별 급여 지급 내역서</t>
    <phoneticPr fontId="1" type="noConversion"/>
  </si>
  <si>
    <t>사원코드</t>
  </si>
  <si>
    <t>근무년수</t>
  </si>
  <si>
    <t>기본급</t>
  </si>
  <si>
    <t>수당</t>
  </si>
  <si>
    <t>지급액</t>
  </si>
  <si>
    <t>G1</t>
  </si>
  <si>
    <t>홍기남</t>
  </si>
  <si>
    <t>기획부</t>
  </si>
  <si>
    <t>C2</t>
  </si>
  <si>
    <t>이기자</t>
  </si>
  <si>
    <t>G3</t>
  </si>
  <si>
    <t>차후서</t>
  </si>
  <si>
    <t>Y1</t>
  </si>
  <si>
    <t>허인기</t>
  </si>
  <si>
    <t>C3</t>
  </si>
  <si>
    <t>김인자</t>
  </si>
  <si>
    <t>Y3</t>
  </si>
  <si>
    <t>박혁제</t>
  </si>
  <si>
    <t>G2</t>
  </si>
  <si>
    <t>김순례</t>
  </si>
  <si>
    <t>Y2</t>
  </si>
  <si>
    <t>우인철</t>
  </si>
  <si>
    <t>C1</t>
  </si>
  <si>
    <t>유철민</t>
  </si>
  <si>
    <t>매출이익 분석</t>
    <phoneticPr fontId="1" type="noConversion"/>
  </si>
  <si>
    <t>상품단가</t>
  </si>
  <si>
    <t>판매수량</t>
  </si>
  <si>
    <t>인건비</t>
  </si>
  <si>
    <t>광고비</t>
  </si>
  <si>
    <t>관리비</t>
  </si>
  <si>
    <t>매출액</t>
  </si>
  <si>
    <t>매출이익</t>
  </si>
  <si>
    <t>영업이익률</t>
  </si>
  <si>
    <t>수출 내역</t>
    <phoneticPr fontId="1" type="noConversion"/>
  </si>
  <si>
    <t>종류</t>
    <phoneticPr fontId="1" type="noConversion"/>
  </si>
  <si>
    <t>단가</t>
  </si>
  <si>
    <t>단가(달러)</t>
    <phoneticPr fontId="1" type="noConversion"/>
  </si>
  <si>
    <t>1사분기
수출량</t>
    <phoneticPr fontId="1" type="noConversion"/>
  </si>
  <si>
    <t>2사분기
수출량</t>
  </si>
  <si>
    <t>단가(원)</t>
    <phoneticPr fontId="1" type="noConversion"/>
  </si>
  <si>
    <t>수출액</t>
    <phoneticPr fontId="1" type="noConversion"/>
  </si>
  <si>
    <t>순위</t>
    <phoneticPr fontId="1" type="noConversion"/>
  </si>
  <si>
    <t>백상지1</t>
  </si>
  <si>
    <t>백상지2</t>
  </si>
  <si>
    <t>아트지</t>
  </si>
  <si>
    <t>판지</t>
  </si>
  <si>
    <t>신문용지</t>
  </si>
  <si>
    <t>감열지</t>
  </si>
  <si>
    <t>골판지1</t>
  </si>
  <si>
    <t>골판지2</t>
  </si>
  <si>
    <t>합계</t>
    <phoneticPr fontId="1" type="noConversion"/>
  </si>
  <si>
    <t>네트워크 장비 판매 내역</t>
    <phoneticPr fontId="1" type="noConversion"/>
  </si>
  <si>
    <t>(단위 : 천원)</t>
    <phoneticPr fontId="1" type="noConversion"/>
  </si>
  <si>
    <t>품목</t>
  </si>
  <si>
    <t>판매액</t>
  </si>
  <si>
    <t>목표량</t>
  </si>
  <si>
    <t>달성율</t>
  </si>
  <si>
    <t>평가</t>
  </si>
  <si>
    <t>스위칭 HUB</t>
  </si>
  <si>
    <t>초과달성</t>
  </si>
  <si>
    <t>더미 HUB</t>
  </si>
  <si>
    <t>RACK</t>
  </si>
  <si>
    <t>목표미달</t>
  </si>
  <si>
    <t>패치패널</t>
  </si>
  <si>
    <t>목표달성</t>
  </si>
  <si>
    <t>UTP케이블</t>
  </si>
  <si>
    <t>LAN카드</t>
  </si>
  <si>
    <t>기록</t>
  </si>
  <si>
    <t>[표2]</t>
    <phoneticPr fontId="1" type="noConversion"/>
  </si>
  <si>
    <t>철인3종 경기 결과</t>
    <phoneticPr fontId="1" type="noConversion"/>
  </si>
  <si>
    <t>선수명</t>
    <phoneticPr fontId="1" type="noConversion"/>
  </si>
  <si>
    <t>신예진</t>
    <phoneticPr fontId="1" type="noConversion"/>
  </si>
  <si>
    <t>이혜랑</t>
    <phoneticPr fontId="1" type="noConversion"/>
  </si>
  <si>
    <t>황가연</t>
    <phoneticPr fontId="1" type="noConversion"/>
  </si>
  <si>
    <t>안희진</t>
    <phoneticPr fontId="1" type="noConversion"/>
  </si>
  <si>
    <t>유솔지</t>
    <phoneticPr fontId="1" type="noConversion"/>
  </si>
  <si>
    <t>김정원</t>
    <phoneticPr fontId="1" type="noConversion"/>
  </si>
  <si>
    <t>조은진</t>
    <phoneticPr fontId="1" type="noConversion"/>
  </si>
  <si>
    <t>이연우</t>
    <phoneticPr fontId="1" type="noConversion"/>
  </si>
  <si>
    <t>지차희</t>
    <phoneticPr fontId="1" type="noConversion"/>
  </si>
  <si>
    <t>배번</t>
    <phoneticPr fontId="1" type="noConversion"/>
  </si>
  <si>
    <t>소속</t>
    <phoneticPr fontId="1" type="noConversion"/>
  </si>
  <si>
    <t>통영시청</t>
    <phoneticPr fontId="1" type="noConversion"/>
  </si>
  <si>
    <t>대전시청</t>
    <phoneticPr fontId="1" type="noConversion"/>
  </si>
  <si>
    <t>서울시청</t>
    <phoneticPr fontId="1" type="noConversion"/>
  </si>
  <si>
    <t>천안시청</t>
    <phoneticPr fontId="1" type="noConversion"/>
  </si>
  <si>
    <t>1위 기록</t>
    <phoneticPr fontId="1" type="noConversion"/>
  </si>
  <si>
    <t>평점분석</t>
  </si>
  <si>
    <t>용지(A4)</t>
    <phoneticPr fontId="1" type="noConversion"/>
  </si>
  <si>
    <t>용지(A3)</t>
    <phoneticPr fontId="1" type="noConversion"/>
  </si>
  <si>
    <t>010-767-3454</t>
    <phoneticPr fontId="1" type="noConversion"/>
  </si>
  <si>
    <t>010-747-6215</t>
    <phoneticPr fontId="1" type="noConversion"/>
  </si>
  <si>
    <t>010-656-9167</t>
    <phoneticPr fontId="1" type="noConversion"/>
  </si>
  <si>
    <t>010-545-9088</t>
    <phoneticPr fontId="1" type="noConversion"/>
  </si>
  <si>
    <t>영업부</t>
    <phoneticPr fontId="1" type="noConversion"/>
  </si>
  <si>
    <t>홍보부</t>
    <phoneticPr fontId="1" type="noConversion"/>
  </si>
  <si>
    <t>경리부</t>
    <phoneticPr fontId="1" type="noConversion"/>
  </si>
  <si>
    <t>제작부</t>
    <phoneticPr fontId="1" type="noConversion"/>
  </si>
  <si>
    <t>매입일자</t>
    <phoneticPr fontId="1" type="noConversion"/>
  </si>
  <si>
    <t>평점</t>
  </si>
  <si>
    <t>기준</t>
  </si>
  <si>
    <t>인원수</t>
  </si>
  <si>
    <t>누적인원수</t>
  </si>
  <si>
    <t>A</t>
  </si>
  <si>
    <t>B</t>
  </si>
  <si>
    <t>C</t>
  </si>
  <si>
    <t>D</t>
  </si>
  <si>
    <t>F</t>
  </si>
  <si>
    <t>합계</t>
  </si>
  <si>
    <t>지점명</t>
    <phoneticPr fontId="1" type="noConversion"/>
  </si>
  <si>
    <t>강릉</t>
    <phoneticPr fontId="1" type="noConversion"/>
  </si>
  <si>
    <t>대전</t>
    <phoneticPr fontId="1" type="noConversion"/>
  </si>
  <si>
    <t>판매금액</t>
    <phoneticPr fontId="1" type="noConversion"/>
  </si>
  <si>
    <t>&lt;=800</t>
    <phoneticPr fontId="1" type="noConversion"/>
  </si>
  <si>
    <t>생산부 요약</t>
  </si>
  <si>
    <t>영업부 요약</t>
  </si>
  <si>
    <t>총무부 요약</t>
  </si>
  <si>
    <t>총합계</t>
  </si>
  <si>
    <t>생산부 평균</t>
  </si>
  <si>
    <t>영업부 평균</t>
  </si>
  <si>
    <t>총무부 평균</t>
  </si>
  <si>
    <t>전체 평균</t>
  </si>
  <si>
    <t>(모두)</t>
  </si>
  <si>
    <t>행 레이블</t>
  </si>
  <si>
    <t>열 레이블</t>
  </si>
  <si>
    <t>평균 : 상여급</t>
  </si>
  <si>
    <t>전체 평균 : 상여급</t>
  </si>
  <si>
    <t>평균 : 수당</t>
  </si>
  <si>
    <t>전체 평균 : 수당</t>
  </si>
  <si>
    <t>1-4</t>
  </si>
  <si>
    <t>5-8</t>
  </si>
  <si>
    <t>9-12</t>
  </si>
  <si>
    <t>13-16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</si>
</sst>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#,##0_ "/>
  </numFmts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b/>
      <sz val="16"/>
      <color theme="1"/>
      <name val="궁서체"/>
      <family val="1"/>
      <charset val="129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auto="1"/>
      </diagonal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4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10" fontId="0" fillId="0" borderId="1" xfId="0" applyNumberFormat="1" applyBorder="1" applyAlignment="1">
      <alignment horizontal="center" vertical="center"/>
    </xf>
    <xf numFmtId="176" fontId="0" fillId="0" borderId="1" xfId="1" applyNumberFormat="1" applyFont="1" applyBorder="1" applyAlignment="1">
      <alignment horizontal="right" vertical="center"/>
    </xf>
    <xf numFmtId="176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21" fontId="0" fillId="0" borderId="1" xfId="0" applyNumberFormat="1" applyBorder="1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4" fillId="3" borderId="6" xfId="0" applyFont="1" applyFill="1" applyBorder="1" applyAlignment="1">
      <alignment horizontal="center" vertical="center"/>
    </xf>
    <xf numFmtId="57" fontId="0" fillId="0" borderId="6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indent="1"/>
    </xf>
    <xf numFmtId="176" fontId="0" fillId="0" borderId="0" xfId="0" applyNumberFormat="1">
      <alignment vertical="center"/>
    </xf>
    <xf numFmtId="41" fontId="6" fillId="0" borderId="1" xfId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600" b="1"/>
              <a:t>품목별 판매량과 판매액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차트작업!$C$3</c:f>
              <c:strCache>
                <c:ptCount val="1"/>
                <c:pt idx="0">
                  <c:v>판매량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스위칭 HUB</c:v>
                </c:pt>
                <c:pt idx="1">
                  <c:v>더미 HUB</c:v>
                </c:pt>
                <c:pt idx="2">
                  <c:v>RACK</c:v>
                </c:pt>
                <c:pt idx="3">
                  <c:v>패치패널</c:v>
                </c:pt>
                <c:pt idx="4">
                  <c:v>UTP케이블</c:v>
                </c:pt>
                <c:pt idx="5">
                  <c:v>LAN카드</c:v>
                </c:pt>
              </c:strCache>
            </c:strRef>
          </c:cat>
          <c:val>
            <c:numRef>
              <c:f>차트작업!$C$4:$C$9</c:f>
              <c:numCache>
                <c:formatCode>#,##0_ </c:formatCode>
                <c:ptCount val="6"/>
                <c:pt idx="0">
                  <c:v>50</c:v>
                </c:pt>
                <c:pt idx="1">
                  <c:v>250</c:v>
                </c:pt>
                <c:pt idx="2">
                  <c:v>15</c:v>
                </c:pt>
                <c:pt idx="3">
                  <c:v>150</c:v>
                </c:pt>
                <c:pt idx="4">
                  <c:v>154</c:v>
                </c:pt>
                <c:pt idx="5">
                  <c:v>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FB-433D-BFE3-15EC9ADDD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0845743"/>
        <c:axId val="420850543"/>
      </c:barChart>
      <c:lineChart>
        <c:grouping val="standard"/>
        <c:varyColors val="0"/>
        <c:ser>
          <c:idx val="1"/>
          <c:order val="1"/>
          <c:tx>
            <c:strRef>
              <c:f>차트작업!$D$3</c:f>
              <c:strCache>
                <c:ptCount val="1"/>
                <c:pt idx="0">
                  <c:v>판매액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98C-4486-ACF9-05E89CD777A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차트작업!$A$4:$A$9</c:f>
              <c:strCache>
                <c:ptCount val="6"/>
                <c:pt idx="0">
                  <c:v>스위칭 HUB</c:v>
                </c:pt>
                <c:pt idx="1">
                  <c:v>더미 HUB</c:v>
                </c:pt>
                <c:pt idx="2">
                  <c:v>RACK</c:v>
                </c:pt>
                <c:pt idx="3">
                  <c:v>패치패널</c:v>
                </c:pt>
                <c:pt idx="4">
                  <c:v>UTP케이블</c:v>
                </c:pt>
                <c:pt idx="5">
                  <c:v>LAN카드</c:v>
                </c:pt>
              </c:strCache>
            </c:strRef>
          </c:cat>
          <c:val>
            <c:numRef>
              <c:f>차트작업!$D$4:$D$9</c:f>
              <c:numCache>
                <c:formatCode>#,##0_ </c:formatCode>
                <c:ptCount val="6"/>
                <c:pt idx="0">
                  <c:v>125000</c:v>
                </c:pt>
                <c:pt idx="1">
                  <c:v>407500</c:v>
                </c:pt>
                <c:pt idx="2">
                  <c:v>6750</c:v>
                </c:pt>
                <c:pt idx="3">
                  <c:v>22500</c:v>
                </c:pt>
                <c:pt idx="4">
                  <c:v>23100</c:v>
                </c:pt>
                <c:pt idx="5">
                  <c:v>34680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8C-4486-ACF9-05E89CD77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308767"/>
        <c:axId val="91310207"/>
      </c:lineChart>
      <c:catAx>
        <c:axId val="420845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20850543"/>
        <c:crosses val="autoZero"/>
        <c:auto val="1"/>
        <c:lblAlgn val="ctr"/>
        <c:lblOffset val="100"/>
        <c:noMultiLvlLbl val="0"/>
      </c:catAx>
      <c:valAx>
        <c:axId val="420850543"/>
        <c:scaling>
          <c:orientation val="minMax"/>
          <c:max val="8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20845743"/>
        <c:crosses val="autoZero"/>
        <c:crossBetween val="between"/>
        <c:majorUnit val="200"/>
      </c:valAx>
      <c:valAx>
        <c:axId val="91310207"/>
        <c:scaling>
          <c:orientation val="minMax"/>
        </c:scaling>
        <c:delete val="0"/>
        <c:axPos val="r"/>
        <c:numFmt formatCode="#,##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1308767"/>
        <c:crosses val="max"/>
        <c:crossBetween val="between"/>
      </c:valAx>
      <c:catAx>
        <c:axId val="91308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131020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solidFill>
          <a:srgbClr val="FFFF00"/>
        </a:solidFill>
        <a:ln>
          <a:solidFill>
            <a:srgbClr val="FF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13</xdr:row>
      <xdr:rowOff>0</xdr:rowOff>
    </xdr:from>
    <xdr:to>
      <xdr:col>6</xdr:col>
      <xdr:colOff>0</xdr:colOff>
      <xdr:row>15</xdr:row>
      <xdr:rowOff>0</xdr:rowOff>
    </xdr:to>
    <xdr:sp macro="[0]!서식" textlink="">
      <xdr:nvSpPr>
        <xdr:cNvPr id="2" name="사각형: 빗면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781300" y="3073400"/>
          <a:ext cx="1689100" cy="431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8</xdr:col>
      <xdr:colOff>0</xdr:colOff>
      <xdr:row>28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168.667004166666" createdVersion="8" refreshedVersion="8" minRefreshableVersion="3" recordCount="9" xr:uid="{7677F6F4-0845-442D-9101-9D977318B817}">
  <cacheSource type="worksheet">
    <worksheetSource ref="A3:I12" sheet="분석작업-2"/>
  </cacheSource>
  <cacheFields count="9">
    <cacheField name="사원코드" numFmtId="0">
      <sharedItems/>
    </cacheField>
    <cacheField name="성명" numFmtId="0">
      <sharedItems count="9">
        <s v="홍기남"/>
        <s v="이기자"/>
        <s v="차후서"/>
        <s v="허인기"/>
        <s v="김인자"/>
        <s v="박혁제"/>
        <s v="김순례"/>
        <s v="우인철"/>
        <s v="유철민"/>
      </sharedItems>
    </cacheField>
    <cacheField name="부서명" numFmtId="0">
      <sharedItems/>
    </cacheField>
    <cacheField name="직위" numFmtId="0">
      <sharedItems count="3">
        <s v="부장"/>
        <s v="과장"/>
        <s v="대리"/>
      </sharedItems>
    </cacheField>
    <cacheField name="근무년수" numFmtId="0">
      <sharedItems containsSemiMixedTypes="0" containsString="0" containsNumber="1" containsInteger="1" minValue="3" maxValue="16" count="7">
        <n v="16"/>
        <n v="9"/>
        <n v="4"/>
        <n v="12"/>
        <n v="3"/>
        <n v="8"/>
        <n v="11"/>
      </sharedItems>
      <fieldGroup base="4">
        <rangePr autoStart="0" startNum="1" endNum="16" groupInterval="4"/>
        <groupItems count="6">
          <s v="&lt;1"/>
          <s v="1-4"/>
          <s v="5-8"/>
          <s v="9-12"/>
          <s v="13-16"/>
          <s v="&gt;17"/>
        </groupItems>
      </fieldGroup>
    </cacheField>
    <cacheField name="기본급" numFmtId="41">
      <sharedItems containsSemiMixedTypes="0" containsString="0" containsNumber="1" containsInteger="1" minValue="950000" maxValue="1600000"/>
    </cacheField>
    <cacheField name="상여급" numFmtId="41">
      <sharedItems containsSemiMixedTypes="0" containsString="0" containsNumber="1" containsInteger="1" minValue="190000" maxValue="480000"/>
    </cacheField>
    <cacheField name="수당" numFmtId="41">
      <sharedItems containsSemiMixedTypes="0" containsString="0" containsNumber="1" containsInteger="1" minValue="19000" maxValue="208000"/>
    </cacheField>
    <cacheField name="지급액" numFmtId="41">
      <sharedItems containsSemiMixedTypes="0" containsString="0" containsNumber="1" containsInteger="1" minValue="1159000" maxValue="2288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s v="G1"/>
    <x v="0"/>
    <s v="기획부"/>
    <x v="0"/>
    <x v="0"/>
    <n v="1600000"/>
    <n v="480000"/>
    <n v="208000"/>
    <n v="2288000"/>
  </r>
  <r>
    <s v="C2"/>
    <x v="1"/>
    <s v="총무부"/>
    <x v="1"/>
    <x v="1"/>
    <n v="1250000"/>
    <n v="375000"/>
    <n v="62500"/>
    <n v="1687500"/>
  </r>
  <r>
    <s v="G3"/>
    <x v="2"/>
    <s v="기획부"/>
    <x v="2"/>
    <x v="2"/>
    <n v="1000000"/>
    <n v="200000"/>
    <n v="20000"/>
    <n v="1220000"/>
  </r>
  <r>
    <s v="Y1"/>
    <x v="3"/>
    <s v="영업부"/>
    <x v="0"/>
    <x v="3"/>
    <n v="1400000"/>
    <n v="420000"/>
    <n v="112000"/>
    <n v="1932000"/>
  </r>
  <r>
    <s v="C3"/>
    <x v="4"/>
    <s v="총무부"/>
    <x v="2"/>
    <x v="4"/>
    <n v="950000"/>
    <n v="190000"/>
    <n v="19000"/>
    <n v="1159000"/>
  </r>
  <r>
    <s v="Y3"/>
    <x v="5"/>
    <s v="영업부"/>
    <x v="2"/>
    <x v="2"/>
    <n v="1000000"/>
    <n v="200000"/>
    <n v="20000"/>
    <n v="1220000"/>
  </r>
  <r>
    <s v="G2"/>
    <x v="6"/>
    <s v="기획부"/>
    <x v="1"/>
    <x v="5"/>
    <n v="1200000"/>
    <n v="360000"/>
    <n v="60000"/>
    <n v="1620000"/>
  </r>
  <r>
    <s v="Y2"/>
    <x v="7"/>
    <s v="영업부"/>
    <x v="1"/>
    <x v="1"/>
    <n v="1250000"/>
    <n v="375000"/>
    <n v="62500"/>
    <n v="1687500"/>
  </r>
  <r>
    <s v="C1"/>
    <x v="8"/>
    <s v="총무부"/>
    <x v="0"/>
    <x v="6"/>
    <n v="1350000"/>
    <n v="405000"/>
    <n v="108000"/>
    <n v="1863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375C6B-019C-4665-B458-BFDDB9C0042D}" name="피벗 테이블1" cacheId="0" dataOnRows="1" applyNumberFormats="0" applyBorderFormats="0" applyFontFormats="0" applyPatternFormats="0" applyAlignmentFormats="0" applyWidthHeightFormats="1" dataCaption="값" updatedVersion="8" minRefreshableVersion="3" useAutoFormatting="1" colGrandTotals="0" itemPrintTitles="1" createdVersion="8" indent="0" outline="1" outlineData="1" multipleFieldFilters="0">
  <location ref="A17:D32" firstHeaderRow="1" firstDataRow="2" firstDataCol="1" rowPageCount="1" colPageCount="1"/>
  <pivotFields count="9">
    <pivotField showAll="0"/>
    <pivotField axis="axisPage" showAll="0">
      <items count="10">
        <item x="6"/>
        <item x="4"/>
        <item x="5"/>
        <item x="7"/>
        <item x="8"/>
        <item x="1"/>
        <item x="2"/>
        <item x="3"/>
        <item x="0"/>
        <item t="default"/>
      </items>
    </pivotField>
    <pivotField showAll="0"/>
    <pivotField axis="axisCol" showAll="0">
      <items count="4">
        <item x="1"/>
        <item x="2"/>
        <item x="0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numFmtId="41" showAll="0"/>
    <pivotField dataField="1" numFmtId="41" showAll="0"/>
    <pivotField dataField="1" numFmtId="41" showAll="0"/>
    <pivotField numFmtId="41" showAll="0"/>
  </pivotFields>
  <rowFields count="2">
    <field x="4"/>
    <field x="-2"/>
  </rowFields>
  <rowItems count="14">
    <i>
      <x v="1"/>
    </i>
    <i r="1">
      <x/>
    </i>
    <i r="1" i="1">
      <x v="1"/>
    </i>
    <i>
      <x v="2"/>
    </i>
    <i r="1">
      <x/>
    </i>
    <i r="1" i="1">
      <x v="1"/>
    </i>
    <i>
      <x v="3"/>
    </i>
    <i r="1">
      <x/>
    </i>
    <i r="1" i="1">
      <x v="1"/>
    </i>
    <i>
      <x v="4"/>
    </i>
    <i r="1">
      <x/>
    </i>
    <i r="1" i="1">
      <x v="1"/>
    </i>
    <i t="grand">
      <x/>
    </i>
    <i t="grand" i="1">
      <x/>
    </i>
  </rowItems>
  <colFields count="1">
    <field x="3"/>
  </colFields>
  <colItems count="3">
    <i>
      <x/>
    </i>
    <i>
      <x v="1"/>
    </i>
    <i>
      <x v="2"/>
    </i>
  </colItems>
  <pageFields count="1">
    <pageField fld="1" hier="-1"/>
  </pageFields>
  <dataFields count="2">
    <dataField name="평균 : 상여급" fld="6" subtotal="average" baseField="4" baseItem="1" numFmtId="176"/>
    <dataField name="평균 : 수당" fld="7" subtotal="average" baseField="4" baseItem="1" numFmtId="17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CB29986-AF1D-4C20-A16F-C918BAC85400}" name="표1" displayName="표1" ref="A3:F26" totalsRowShown="0" headerRowDxfId="8" headerRowBorderDxfId="7" tableBorderDxfId="6">
  <autoFilter ref="A3:F26" xr:uid="{8CB29986-AF1D-4C20-A16F-C918BAC85400}"/>
  <tableColumns count="6">
    <tableColumn id="1" xr3:uid="{4FA6C9A9-488A-49D0-BBA2-F5D64BFD8BA0}" name="이름" dataDxfId="5"/>
    <tableColumn id="2" xr3:uid="{5C888278-42B0-4240-BF9C-1E21C74CA058}" name="성별" dataDxfId="4"/>
    <tableColumn id="3" xr3:uid="{E35A2D52-E4EA-4CD4-A50A-20BA994D5D6B}" name="소속부서" dataDxfId="3"/>
    <tableColumn id="4" xr3:uid="{4DA16C55-D9B8-449A-A456-0EAF945F107F}" name="직위" dataDxfId="2"/>
    <tableColumn id="5" xr3:uid="{4F65980F-8A37-4542-BE4F-89FF0B6CF530}" name="월급" dataDxfId="1" dataCellStyle="쉼표 [0]"/>
    <tableColumn id="6" xr3:uid="{335CBF8D-73CF-4291-B4D2-0B20E73A719A}" name="상여급" dataDxfId="0" dataCellStyle="쉼표 [0]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dimension ref="B2:G9"/>
  <sheetViews>
    <sheetView tabSelected="1" workbookViewId="0"/>
  </sheetViews>
  <sheetFormatPr defaultRowHeight="17" x14ac:dyDescent="0.45"/>
  <cols>
    <col min="1" max="1" width="3.58203125" customWidth="1"/>
    <col min="2" max="2" width="9.25" bestFit="1" customWidth="1"/>
    <col min="6" max="6" width="10.58203125" bestFit="1" customWidth="1"/>
    <col min="7" max="7" width="12.9140625" bestFit="1" customWidth="1"/>
  </cols>
  <sheetData>
    <row r="2" spans="2:7" x14ac:dyDescent="0.45">
      <c r="B2" t="s">
        <v>0</v>
      </c>
    </row>
    <row r="4" spans="2:7" x14ac:dyDescent="0.45"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6</v>
      </c>
    </row>
    <row r="5" spans="2:7" x14ac:dyDescent="0.45">
      <c r="B5" s="1" t="s">
        <v>7</v>
      </c>
      <c r="C5" s="1" t="s">
        <v>8</v>
      </c>
      <c r="D5" s="1" t="s">
        <v>268</v>
      </c>
      <c r="E5" s="1">
        <v>7</v>
      </c>
      <c r="F5" s="2">
        <v>3550000</v>
      </c>
      <c r="G5" s="1" t="s">
        <v>9</v>
      </c>
    </row>
    <row r="6" spans="2:7" x14ac:dyDescent="0.45">
      <c r="B6" s="1" t="s">
        <v>10</v>
      </c>
      <c r="C6" s="1" t="s">
        <v>11</v>
      </c>
      <c r="D6" s="1" t="s">
        <v>12</v>
      </c>
      <c r="E6" s="1">
        <v>5</v>
      </c>
      <c r="F6" s="2">
        <v>3050000</v>
      </c>
      <c r="G6" s="1" t="s">
        <v>262</v>
      </c>
    </row>
    <row r="7" spans="2:7" x14ac:dyDescent="0.45">
      <c r="B7" s="1" t="s">
        <v>13</v>
      </c>
      <c r="C7" s="1" t="s">
        <v>14</v>
      </c>
      <c r="D7" s="1" t="s">
        <v>266</v>
      </c>
      <c r="E7" s="1">
        <v>6</v>
      </c>
      <c r="F7" s="2">
        <v>3300000</v>
      </c>
      <c r="G7" s="1" t="s">
        <v>263</v>
      </c>
    </row>
    <row r="8" spans="2:7" x14ac:dyDescent="0.45">
      <c r="B8" s="1" t="s">
        <v>15</v>
      </c>
      <c r="C8" s="1" t="s">
        <v>16</v>
      </c>
      <c r="D8" s="1" t="s">
        <v>267</v>
      </c>
      <c r="E8" s="1">
        <v>4</v>
      </c>
      <c r="F8" s="2">
        <v>2650000</v>
      </c>
      <c r="G8" s="1" t="s">
        <v>264</v>
      </c>
    </row>
    <row r="9" spans="2:7" x14ac:dyDescent="0.45">
      <c r="B9" s="1" t="s">
        <v>17</v>
      </c>
      <c r="C9" s="1" t="s">
        <v>18</v>
      </c>
      <c r="D9" s="1" t="s">
        <v>269</v>
      </c>
      <c r="E9" s="1">
        <v>5</v>
      </c>
      <c r="F9" s="2">
        <v>2700000</v>
      </c>
      <c r="G9" s="1" t="s">
        <v>265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C96A-C439-4D48-AE3B-B60B9F7E9BB0}">
  <dimension ref="B2:G12"/>
  <sheetViews>
    <sheetView workbookViewId="0"/>
  </sheetViews>
  <sheetFormatPr defaultRowHeight="17" x14ac:dyDescent="0.45"/>
  <cols>
    <col min="1" max="1" width="2.58203125" customWidth="1"/>
    <col min="2" max="2" width="14.58203125" customWidth="1"/>
    <col min="4" max="4" width="9.08203125" bestFit="1" customWidth="1"/>
    <col min="5" max="5" width="9.33203125" bestFit="1" customWidth="1"/>
    <col min="7" max="7" width="8.9140625" bestFit="1" customWidth="1"/>
  </cols>
  <sheetData>
    <row r="2" spans="2:7" ht="24" customHeight="1" x14ac:dyDescent="0.45">
      <c r="B2" s="17" t="s">
        <v>90</v>
      </c>
      <c r="C2" s="17"/>
      <c r="D2" s="17"/>
      <c r="E2" s="17"/>
      <c r="F2" s="17"/>
      <c r="G2" s="17"/>
    </row>
    <row r="4" spans="2:7" x14ac:dyDescent="0.45">
      <c r="B4" s="18" t="s">
        <v>270</v>
      </c>
      <c r="C4" s="18" t="s">
        <v>91</v>
      </c>
      <c r="D4" s="18" t="s">
        <v>92</v>
      </c>
      <c r="E4" s="18" t="s">
        <v>93</v>
      </c>
      <c r="F4" s="18" t="s">
        <v>94</v>
      </c>
      <c r="G4" s="18" t="s">
        <v>6</v>
      </c>
    </row>
    <row r="5" spans="2:7" x14ac:dyDescent="0.45">
      <c r="B5" s="19">
        <v>45566</v>
      </c>
      <c r="C5" s="20" t="s">
        <v>108</v>
      </c>
      <c r="D5" s="21">
        <v>1000</v>
      </c>
      <c r="E5" s="21">
        <v>9000</v>
      </c>
      <c r="F5" s="20" t="s">
        <v>95</v>
      </c>
      <c r="G5" s="20" t="s">
        <v>96</v>
      </c>
    </row>
    <row r="6" spans="2:7" x14ac:dyDescent="0.45">
      <c r="B6" s="19">
        <v>45566</v>
      </c>
      <c r="C6" s="20" t="s">
        <v>97</v>
      </c>
      <c r="D6" s="21">
        <v>1200</v>
      </c>
      <c r="E6" s="21">
        <v>4200</v>
      </c>
      <c r="F6" s="20" t="s">
        <v>98</v>
      </c>
      <c r="G6" s="20" t="s">
        <v>99</v>
      </c>
    </row>
    <row r="7" spans="2:7" x14ac:dyDescent="0.45">
      <c r="B7" s="19">
        <v>45566</v>
      </c>
      <c r="C7" s="20" t="s">
        <v>260</v>
      </c>
      <c r="D7" s="21">
        <v>55000</v>
      </c>
      <c r="E7" s="21">
        <v>105800</v>
      </c>
      <c r="F7" s="20" t="s">
        <v>100</v>
      </c>
      <c r="G7" s="20" t="s">
        <v>101</v>
      </c>
    </row>
    <row r="8" spans="2:7" x14ac:dyDescent="0.45">
      <c r="B8" s="19">
        <v>45570</v>
      </c>
      <c r="C8" s="20" t="s">
        <v>107</v>
      </c>
      <c r="D8" s="21">
        <v>0</v>
      </c>
      <c r="E8" s="21">
        <v>6600</v>
      </c>
      <c r="F8" s="20" t="s">
        <v>102</v>
      </c>
      <c r="G8" s="20" t="s">
        <v>103</v>
      </c>
    </row>
    <row r="9" spans="2:7" x14ac:dyDescent="0.45">
      <c r="B9" s="19">
        <v>45571</v>
      </c>
      <c r="C9" s="20" t="s">
        <v>107</v>
      </c>
      <c r="D9" s="21">
        <v>3000</v>
      </c>
      <c r="E9" s="21">
        <v>3000</v>
      </c>
      <c r="F9" s="20" t="s">
        <v>102</v>
      </c>
      <c r="G9" s="20" t="s">
        <v>103</v>
      </c>
    </row>
    <row r="10" spans="2:7" x14ac:dyDescent="0.45">
      <c r="B10" s="19">
        <v>45571</v>
      </c>
      <c r="C10" s="20" t="s">
        <v>261</v>
      </c>
      <c r="D10" s="21">
        <v>2000</v>
      </c>
      <c r="E10" s="21">
        <v>128500</v>
      </c>
      <c r="F10" s="20" t="s">
        <v>100</v>
      </c>
      <c r="G10" s="20" t="s">
        <v>101</v>
      </c>
    </row>
    <row r="11" spans="2:7" x14ac:dyDescent="0.45">
      <c r="B11" s="19">
        <v>45572</v>
      </c>
      <c r="C11" s="20" t="s">
        <v>104</v>
      </c>
      <c r="D11" s="21">
        <v>15000</v>
      </c>
      <c r="E11" s="21">
        <v>29400</v>
      </c>
      <c r="F11" s="20" t="s">
        <v>105</v>
      </c>
      <c r="G11" s="20" t="s">
        <v>106</v>
      </c>
    </row>
    <row r="12" spans="2:7" x14ac:dyDescent="0.45">
      <c r="B12" s="19">
        <v>45573</v>
      </c>
      <c r="C12" s="20" t="s">
        <v>260</v>
      </c>
      <c r="D12" s="21">
        <v>50000</v>
      </c>
      <c r="E12" s="21">
        <v>116380</v>
      </c>
      <c r="F12" s="20" t="s">
        <v>100</v>
      </c>
      <c r="G12" s="20" t="s">
        <v>101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dimension ref="B1:E9"/>
  <sheetViews>
    <sheetView workbookViewId="0"/>
  </sheetViews>
  <sheetFormatPr defaultRowHeight="17" x14ac:dyDescent="0.45"/>
  <cols>
    <col min="1" max="1" width="3.58203125" customWidth="1"/>
    <col min="5" max="5" width="10.58203125" customWidth="1"/>
  </cols>
  <sheetData>
    <row r="1" spans="2:5" x14ac:dyDescent="0.45">
      <c r="B1" t="s">
        <v>259</v>
      </c>
    </row>
    <row r="3" spans="2:5" x14ac:dyDescent="0.45">
      <c r="B3" t="s">
        <v>271</v>
      </c>
      <c r="C3" t="s">
        <v>272</v>
      </c>
      <c r="D3" t="s">
        <v>273</v>
      </c>
      <c r="E3" t="s">
        <v>274</v>
      </c>
    </row>
    <row r="4" spans="2:5" x14ac:dyDescent="0.45">
      <c r="B4" t="s">
        <v>275</v>
      </c>
      <c r="C4">
        <v>95</v>
      </c>
      <c r="D4">
        <v>0</v>
      </c>
      <c r="E4">
        <v>0</v>
      </c>
    </row>
    <row r="5" spans="2:5" x14ac:dyDescent="0.45">
      <c r="B5" t="s">
        <v>276</v>
      </c>
      <c r="C5">
        <v>90</v>
      </c>
      <c r="D5">
        <v>1</v>
      </c>
      <c r="E5">
        <v>1</v>
      </c>
    </row>
    <row r="6" spans="2:5" x14ac:dyDescent="0.45">
      <c r="B6" t="s">
        <v>277</v>
      </c>
      <c r="C6">
        <v>85</v>
      </c>
      <c r="D6">
        <v>2</v>
      </c>
      <c r="E6">
        <v>3</v>
      </c>
    </row>
    <row r="7" spans="2:5" x14ac:dyDescent="0.45">
      <c r="B7" t="s">
        <v>278</v>
      </c>
      <c r="C7">
        <v>80</v>
      </c>
      <c r="D7">
        <v>1</v>
      </c>
      <c r="E7">
        <v>4</v>
      </c>
    </row>
    <row r="8" spans="2:5" x14ac:dyDescent="0.45">
      <c r="B8" t="s">
        <v>279</v>
      </c>
      <c r="C8">
        <v>75</v>
      </c>
      <c r="D8">
        <v>4</v>
      </c>
      <c r="E8">
        <v>8</v>
      </c>
    </row>
    <row r="9" spans="2:5" x14ac:dyDescent="0.45">
      <c r="B9" t="s">
        <v>280</v>
      </c>
      <c r="D9">
        <v>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9FCFE-F4EB-493B-9B85-DA9EEF145B94}">
  <dimension ref="A1:H25"/>
  <sheetViews>
    <sheetView workbookViewId="0">
      <selection sqref="A1:H1"/>
    </sheetView>
  </sheetViews>
  <sheetFormatPr defaultRowHeight="17" x14ac:dyDescent="0.45"/>
  <cols>
    <col min="4" max="4" width="13.9140625" bestFit="1" customWidth="1"/>
  </cols>
  <sheetData>
    <row r="1" spans="1:8" ht="21" x14ac:dyDescent="0.45">
      <c r="A1" s="33" t="s">
        <v>109</v>
      </c>
      <c r="B1" s="33"/>
      <c r="C1" s="33"/>
      <c r="D1" s="33"/>
      <c r="E1" s="33"/>
      <c r="F1" s="33"/>
      <c r="G1" s="33"/>
      <c r="H1" s="33"/>
    </row>
    <row r="3" spans="1:8" x14ac:dyDescent="0.45">
      <c r="A3" s="5" t="s">
        <v>110</v>
      </c>
      <c r="B3" s="5" t="s">
        <v>111</v>
      </c>
      <c r="C3" s="5" t="s">
        <v>112</v>
      </c>
      <c r="D3" s="5" t="s">
        <v>113</v>
      </c>
      <c r="E3" s="5" t="s">
        <v>114</v>
      </c>
      <c r="F3" s="5" t="s">
        <v>62</v>
      </c>
      <c r="G3" s="5" t="s">
        <v>115</v>
      </c>
      <c r="H3" s="5" t="s">
        <v>116</v>
      </c>
    </row>
    <row r="4" spans="1:8" x14ac:dyDescent="0.45">
      <c r="A4" s="5" t="s">
        <v>117</v>
      </c>
      <c r="B4" s="5" t="s">
        <v>118</v>
      </c>
      <c r="C4" s="5" t="s">
        <v>148</v>
      </c>
      <c r="D4" s="5" t="s">
        <v>119</v>
      </c>
      <c r="E4" s="5">
        <v>350</v>
      </c>
      <c r="F4" s="5">
        <v>320</v>
      </c>
      <c r="G4" s="5">
        <v>30</v>
      </c>
      <c r="H4" s="7">
        <v>960</v>
      </c>
    </row>
    <row r="5" spans="1:8" x14ac:dyDescent="0.45">
      <c r="A5" s="5" t="s">
        <v>120</v>
      </c>
      <c r="B5" s="5" t="s">
        <v>121</v>
      </c>
      <c r="C5" s="5" t="s">
        <v>122</v>
      </c>
      <c r="D5" s="5" t="s">
        <v>123</v>
      </c>
      <c r="E5" s="5">
        <v>400</v>
      </c>
      <c r="F5" s="5">
        <v>380</v>
      </c>
      <c r="G5" s="5">
        <v>20</v>
      </c>
      <c r="H5" s="7">
        <v>1140</v>
      </c>
    </row>
    <row r="6" spans="1:8" x14ac:dyDescent="0.45">
      <c r="A6" s="5" t="s">
        <v>124</v>
      </c>
      <c r="B6" s="5" t="s">
        <v>125</v>
      </c>
      <c r="C6" s="5" t="s">
        <v>143</v>
      </c>
      <c r="D6" s="5" t="s">
        <v>126</v>
      </c>
      <c r="E6" s="5">
        <v>450</v>
      </c>
      <c r="F6" s="5">
        <v>420</v>
      </c>
      <c r="G6" s="5">
        <v>30</v>
      </c>
      <c r="H6" s="7">
        <v>1260</v>
      </c>
    </row>
    <row r="7" spans="1:8" x14ac:dyDescent="0.45">
      <c r="A7" s="5" t="s">
        <v>127</v>
      </c>
      <c r="B7" s="5" t="s">
        <v>128</v>
      </c>
      <c r="C7" s="5" t="s">
        <v>129</v>
      </c>
      <c r="D7" s="5" t="s">
        <v>130</v>
      </c>
      <c r="E7" s="5">
        <v>300</v>
      </c>
      <c r="F7" s="5">
        <v>290</v>
      </c>
      <c r="G7" s="5">
        <v>10</v>
      </c>
      <c r="H7" s="7">
        <v>870</v>
      </c>
    </row>
    <row r="8" spans="1:8" x14ac:dyDescent="0.45">
      <c r="A8" s="5" t="s">
        <v>131</v>
      </c>
      <c r="B8" s="5" t="s">
        <v>132</v>
      </c>
      <c r="C8" s="5" t="s">
        <v>133</v>
      </c>
      <c r="D8" s="5" t="s">
        <v>134</v>
      </c>
      <c r="E8" s="5">
        <v>200</v>
      </c>
      <c r="F8" s="5">
        <v>175</v>
      </c>
      <c r="G8" s="5">
        <v>25</v>
      </c>
      <c r="H8" s="7">
        <v>525</v>
      </c>
    </row>
    <row r="9" spans="1:8" x14ac:dyDescent="0.45">
      <c r="A9" s="5" t="s">
        <v>117</v>
      </c>
      <c r="B9" s="5" t="s">
        <v>118</v>
      </c>
      <c r="C9" s="5" t="s">
        <v>145</v>
      </c>
      <c r="D9" s="5" t="s">
        <v>135</v>
      </c>
      <c r="E9" s="5">
        <v>250</v>
      </c>
      <c r="F9" s="5">
        <v>230</v>
      </c>
      <c r="G9" s="5">
        <v>20</v>
      </c>
      <c r="H9" s="7">
        <v>690</v>
      </c>
    </row>
    <row r="10" spans="1:8" x14ac:dyDescent="0.45">
      <c r="A10" s="5" t="s">
        <v>120</v>
      </c>
      <c r="B10" s="5" t="s">
        <v>121</v>
      </c>
      <c r="C10" s="5" t="s">
        <v>136</v>
      </c>
      <c r="D10" s="5" t="s">
        <v>137</v>
      </c>
      <c r="E10" s="5">
        <v>250</v>
      </c>
      <c r="F10" s="5">
        <v>220</v>
      </c>
      <c r="G10" s="5">
        <v>30</v>
      </c>
      <c r="H10" s="7">
        <v>660</v>
      </c>
    </row>
    <row r="11" spans="1:8" x14ac:dyDescent="0.45">
      <c r="A11" s="5" t="s">
        <v>124</v>
      </c>
      <c r="B11" s="5" t="s">
        <v>125</v>
      </c>
      <c r="C11" s="5" t="s">
        <v>146</v>
      </c>
      <c r="D11" s="5" t="s">
        <v>138</v>
      </c>
      <c r="E11" s="5">
        <v>250</v>
      </c>
      <c r="F11" s="5">
        <v>230</v>
      </c>
      <c r="G11" s="5">
        <v>20</v>
      </c>
      <c r="H11" s="7">
        <v>690</v>
      </c>
    </row>
    <row r="12" spans="1:8" x14ac:dyDescent="0.45">
      <c r="A12" s="5" t="s">
        <v>127</v>
      </c>
      <c r="B12" s="5" t="s">
        <v>128</v>
      </c>
      <c r="C12" s="5" t="s">
        <v>139</v>
      </c>
      <c r="D12" s="5" t="s">
        <v>140</v>
      </c>
      <c r="E12" s="5">
        <v>200</v>
      </c>
      <c r="F12" s="5">
        <v>185</v>
      </c>
      <c r="G12" s="5">
        <v>15</v>
      </c>
      <c r="H12" s="7">
        <v>555</v>
      </c>
    </row>
    <row r="13" spans="1:8" x14ac:dyDescent="0.45">
      <c r="A13" s="5" t="s">
        <v>131</v>
      </c>
      <c r="B13" s="5" t="s">
        <v>132</v>
      </c>
      <c r="C13" s="5" t="s">
        <v>147</v>
      </c>
      <c r="D13" s="5" t="s">
        <v>141</v>
      </c>
      <c r="E13" s="5">
        <v>150</v>
      </c>
      <c r="F13" s="5">
        <v>140</v>
      </c>
      <c r="G13" s="5">
        <v>10</v>
      </c>
      <c r="H13" s="7">
        <v>420</v>
      </c>
    </row>
    <row r="14" spans="1:8" x14ac:dyDescent="0.45">
      <c r="A14" s="5" t="s">
        <v>117</v>
      </c>
      <c r="B14" s="5" t="s">
        <v>118</v>
      </c>
      <c r="C14" s="5" t="s">
        <v>144</v>
      </c>
      <c r="D14" s="5" t="s">
        <v>142</v>
      </c>
      <c r="E14" s="5">
        <v>200</v>
      </c>
      <c r="F14" s="5">
        <v>170</v>
      </c>
      <c r="G14" s="5">
        <v>30</v>
      </c>
      <c r="H14" s="7">
        <v>510</v>
      </c>
    </row>
    <row r="17" spans="1:8" x14ac:dyDescent="0.45">
      <c r="A17" s="22" t="s">
        <v>281</v>
      </c>
      <c r="B17" s="22" t="s">
        <v>284</v>
      </c>
    </row>
    <row r="18" spans="1:8" x14ac:dyDescent="0.45">
      <c r="A18" s="22" t="s">
        <v>282</v>
      </c>
      <c r="B18" s="22" t="s">
        <v>285</v>
      </c>
    </row>
    <row r="19" spans="1:8" x14ac:dyDescent="0.45">
      <c r="A19" s="22" t="s">
        <v>283</v>
      </c>
      <c r="B19" s="22" t="s">
        <v>285</v>
      </c>
    </row>
    <row r="22" spans="1:8" x14ac:dyDescent="0.45">
      <c r="A22" s="5" t="s">
        <v>110</v>
      </c>
      <c r="B22" s="5" t="s">
        <v>111</v>
      </c>
      <c r="C22" s="5" t="s">
        <v>112</v>
      </c>
      <c r="D22" s="5" t="s">
        <v>113</v>
      </c>
      <c r="E22" s="5" t="s">
        <v>114</v>
      </c>
      <c r="F22" s="5" t="s">
        <v>62</v>
      </c>
      <c r="G22" s="5" t="s">
        <v>115</v>
      </c>
      <c r="H22" s="5" t="s">
        <v>116</v>
      </c>
    </row>
    <row r="23" spans="1:8" x14ac:dyDescent="0.45">
      <c r="A23" s="5" t="s">
        <v>117</v>
      </c>
      <c r="B23" s="5" t="s">
        <v>118</v>
      </c>
      <c r="C23" s="5" t="s">
        <v>145</v>
      </c>
      <c r="D23" s="5" t="s">
        <v>135</v>
      </c>
      <c r="E23" s="5">
        <v>250</v>
      </c>
      <c r="F23" s="5">
        <v>230</v>
      </c>
      <c r="G23" s="5">
        <v>20</v>
      </c>
      <c r="H23" s="7">
        <v>690</v>
      </c>
    </row>
    <row r="24" spans="1:8" x14ac:dyDescent="0.45">
      <c r="A24" s="5" t="s">
        <v>127</v>
      </c>
      <c r="B24" s="5" t="s">
        <v>128</v>
      </c>
      <c r="C24" s="5" t="s">
        <v>139</v>
      </c>
      <c r="D24" s="5" t="s">
        <v>140</v>
      </c>
      <c r="E24" s="5">
        <v>200</v>
      </c>
      <c r="F24" s="5">
        <v>185</v>
      </c>
      <c r="G24" s="5">
        <v>15</v>
      </c>
      <c r="H24" s="7">
        <v>555</v>
      </c>
    </row>
    <row r="25" spans="1:8" x14ac:dyDescent="0.45">
      <c r="A25" s="5" t="s">
        <v>117</v>
      </c>
      <c r="B25" s="5" t="s">
        <v>118</v>
      </c>
      <c r="C25" s="5" t="s">
        <v>144</v>
      </c>
      <c r="D25" s="5" t="s">
        <v>142</v>
      </c>
      <c r="E25" s="5">
        <v>200</v>
      </c>
      <c r="F25" s="5">
        <v>170</v>
      </c>
      <c r="G25" s="5">
        <v>30</v>
      </c>
      <c r="H25" s="7">
        <v>510</v>
      </c>
    </row>
  </sheetData>
  <mergeCells count="1">
    <mergeCell ref="A1:H1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9E6B9-EFB3-4B93-8032-00E754022920}">
  <dimension ref="A1:I34"/>
  <sheetViews>
    <sheetView workbookViewId="0"/>
  </sheetViews>
  <sheetFormatPr defaultRowHeight="17" x14ac:dyDescent="0.45"/>
  <cols>
    <col min="2" max="2" width="10.25" bestFit="1" customWidth="1"/>
    <col min="4" max="4" width="10.4140625" bestFit="1" customWidth="1"/>
    <col min="7" max="7" width="8.6640625" customWidth="1"/>
  </cols>
  <sheetData>
    <row r="1" spans="1:9" x14ac:dyDescent="0.45">
      <c r="A1" s="3" t="s">
        <v>19</v>
      </c>
      <c r="B1" s="4" t="s">
        <v>20</v>
      </c>
      <c r="F1" s="3" t="s">
        <v>240</v>
      </c>
      <c r="G1" s="4" t="s">
        <v>241</v>
      </c>
    </row>
    <row r="2" spans="1:9" x14ac:dyDescent="0.45">
      <c r="A2" s="5" t="s">
        <v>2</v>
      </c>
      <c r="B2" s="5" t="s">
        <v>21</v>
      </c>
      <c r="C2" s="5" t="s">
        <v>22</v>
      </c>
      <c r="D2" s="5" t="s">
        <v>23</v>
      </c>
      <c r="F2" s="5" t="s">
        <v>242</v>
      </c>
      <c r="G2" s="5" t="s">
        <v>252</v>
      </c>
      <c r="H2" s="5" t="s">
        <v>253</v>
      </c>
      <c r="I2" s="5" t="s">
        <v>239</v>
      </c>
    </row>
    <row r="3" spans="1:9" x14ac:dyDescent="0.45">
      <c r="A3" s="5" t="s">
        <v>24</v>
      </c>
      <c r="B3" s="5" t="s">
        <v>25</v>
      </c>
      <c r="C3" s="5" t="s">
        <v>26</v>
      </c>
      <c r="D3" s="5">
        <v>70.900000000000006</v>
      </c>
      <c r="F3" s="5" t="s">
        <v>243</v>
      </c>
      <c r="G3" s="5">
        <v>15</v>
      </c>
      <c r="H3" s="5" t="s">
        <v>254</v>
      </c>
      <c r="I3" s="16">
        <v>4.7037037037037037E-2</v>
      </c>
    </row>
    <row r="4" spans="1:9" x14ac:dyDescent="0.45">
      <c r="A4" s="5" t="s">
        <v>27</v>
      </c>
      <c r="B4" s="5" t="s">
        <v>28</v>
      </c>
      <c r="C4" s="5" t="s">
        <v>29</v>
      </c>
      <c r="D4" s="5">
        <v>77.2</v>
      </c>
      <c r="F4" s="5" t="s">
        <v>244</v>
      </c>
      <c r="G4" s="5">
        <v>6</v>
      </c>
      <c r="H4" s="5" t="s">
        <v>255</v>
      </c>
      <c r="I4" s="16">
        <v>5.1157407407407408E-2</v>
      </c>
    </row>
    <row r="5" spans="1:9" x14ac:dyDescent="0.45">
      <c r="A5" s="5" t="s">
        <v>30</v>
      </c>
      <c r="B5" s="5" t="s">
        <v>25</v>
      </c>
      <c r="C5" s="5" t="s">
        <v>26</v>
      </c>
      <c r="D5" s="5">
        <v>90.6</v>
      </c>
      <c r="F5" s="5" t="s">
        <v>245</v>
      </c>
      <c r="G5" s="5">
        <v>27</v>
      </c>
      <c r="H5" s="5" t="s">
        <v>256</v>
      </c>
      <c r="I5" s="16">
        <v>4.5902777777777772E-2</v>
      </c>
    </row>
    <row r="6" spans="1:9" x14ac:dyDescent="0.45">
      <c r="A6" s="5" t="s">
        <v>31</v>
      </c>
      <c r="B6" s="5" t="s">
        <v>28</v>
      </c>
      <c r="C6" s="5" t="s">
        <v>29</v>
      </c>
      <c r="D6" s="5">
        <v>92.4</v>
      </c>
      <c r="F6" s="5" t="s">
        <v>246</v>
      </c>
      <c r="G6" s="5">
        <v>65</v>
      </c>
      <c r="H6" s="5" t="s">
        <v>257</v>
      </c>
      <c r="I6" s="16">
        <v>4.8067129629629633E-2</v>
      </c>
    </row>
    <row r="7" spans="1:9" x14ac:dyDescent="0.45">
      <c r="A7" s="5" t="s">
        <v>32</v>
      </c>
      <c r="B7" s="5" t="s">
        <v>28</v>
      </c>
      <c r="C7" s="5" t="s">
        <v>26</v>
      </c>
      <c r="D7" s="5">
        <v>88.7</v>
      </c>
      <c r="F7" s="5" t="s">
        <v>247</v>
      </c>
      <c r="G7" s="5">
        <v>24</v>
      </c>
      <c r="H7" s="5" t="s">
        <v>257</v>
      </c>
      <c r="I7" s="16">
        <v>4.9756944444444444E-2</v>
      </c>
    </row>
    <row r="8" spans="1:9" x14ac:dyDescent="0.45">
      <c r="A8" s="5" t="s">
        <v>33</v>
      </c>
      <c r="B8" s="5" t="s">
        <v>25</v>
      </c>
      <c r="C8" s="5" t="s">
        <v>29</v>
      </c>
      <c r="D8" s="5">
        <v>80.3</v>
      </c>
      <c r="F8" s="5" t="s">
        <v>248</v>
      </c>
      <c r="G8" s="5">
        <v>33</v>
      </c>
      <c r="H8" s="5" t="s">
        <v>256</v>
      </c>
      <c r="I8" s="16">
        <v>4.6446759259259257E-2</v>
      </c>
    </row>
    <row r="9" spans="1:9" x14ac:dyDescent="0.45">
      <c r="A9" s="5" t="s">
        <v>34</v>
      </c>
      <c r="B9" s="5" t="s">
        <v>25</v>
      </c>
      <c r="C9" s="5" t="s">
        <v>26</v>
      </c>
      <c r="D9" s="5">
        <v>95.3</v>
      </c>
      <c r="F9" s="5" t="s">
        <v>249</v>
      </c>
      <c r="G9" s="5">
        <v>9</v>
      </c>
      <c r="H9" s="5" t="s">
        <v>255</v>
      </c>
      <c r="I9" s="16">
        <v>5.0104166666666672E-2</v>
      </c>
    </row>
    <row r="10" spans="1:9" x14ac:dyDescent="0.45">
      <c r="F10" s="5" t="s">
        <v>250</v>
      </c>
      <c r="G10" s="5">
        <v>31</v>
      </c>
      <c r="H10" s="5" t="s">
        <v>254</v>
      </c>
      <c r="I10" s="16">
        <v>5.1840277777777777E-2</v>
      </c>
    </row>
    <row r="11" spans="1:9" x14ac:dyDescent="0.45">
      <c r="A11" s="5" t="s">
        <v>22</v>
      </c>
      <c r="B11" s="5" t="s">
        <v>22</v>
      </c>
      <c r="C11" s="36" t="s">
        <v>35</v>
      </c>
      <c r="D11" s="37"/>
      <c r="F11" s="5" t="s">
        <v>251</v>
      </c>
      <c r="G11" s="5">
        <v>57</v>
      </c>
      <c r="H11" s="5" t="s">
        <v>256</v>
      </c>
      <c r="I11" s="16">
        <v>4.927083333333334E-2</v>
      </c>
    </row>
    <row r="12" spans="1:9" x14ac:dyDescent="0.45">
      <c r="A12" s="5" t="s">
        <v>26</v>
      </c>
      <c r="B12" s="5" t="s">
        <v>29</v>
      </c>
      <c r="C12" s="34">
        <f>ROUNDDOWN(AVERAGE(DMAX(A2:D9,4,A11:A12),DMAX(A2:D9,4,B11:B12)),1)</f>
        <v>93.8</v>
      </c>
      <c r="D12" s="35"/>
      <c r="F12" s="36" t="s">
        <v>258</v>
      </c>
      <c r="G12" s="37"/>
      <c r="H12" s="34" t="str">
        <f>HOUR(SMALL(I3:I11,1))&amp;"시간"&amp;MINUTE(SMALL(I3:I11,1))&amp;"분"&amp;SECOND(SMALL(I3:I11,1))&amp;"초"</f>
        <v>1시간6분6초</v>
      </c>
      <c r="I12" s="35"/>
    </row>
    <row r="14" spans="1:9" x14ac:dyDescent="0.45">
      <c r="A14" s="3" t="s">
        <v>36</v>
      </c>
      <c r="B14" s="4" t="s">
        <v>37</v>
      </c>
      <c r="E14" s="3" t="s">
        <v>57</v>
      </c>
      <c r="F14" s="4" t="s">
        <v>58</v>
      </c>
    </row>
    <row r="15" spans="1:9" x14ac:dyDescent="0.45">
      <c r="A15" s="5" t="s">
        <v>38</v>
      </c>
      <c r="B15" s="5" t="s">
        <v>39</v>
      </c>
      <c r="C15" s="6" t="s">
        <v>40</v>
      </c>
      <c r="E15" s="5" t="s">
        <v>59</v>
      </c>
      <c r="F15" s="5" t="s">
        <v>60</v>
      </c>
      <c r="G15" s="5" t="s">
        <v>61</v>
      </c>
      <c r="H15" s="5" t="s">
        <v>62</v>
      </c>
    </row>
    <row r="16" spans="1:9" x14ac:dyDescent="0.45">
      <c r="A16" s="5" t="s">
        <v>41</v>
      </c>
      <c r="B16" s="15" t="s">
        <v>49</v>
      </c>
      <c r="C16" s="5" t="str">
        <f>UPPER(TRIM(B16))</f>
        <v>CMK975</v>
      </c>
      <c r="E16" s="5" t="s">
        <v>63</v>
      </c>
      <c r="F16" s="5" t="s">
        <v>64</v>
      </c>
      <c r="G16" s="5" t="s">
        <v>65</v>
      </c>
      <c r="H16" s="5">
        <v>624</v>
      </c>
    </row>
    <row r="17" spans="1:8" x14ac:dyDescent="0.45">
      <c r="A17" s="5" t="s">
        <v>42</v>
      </c>
      <c r="B17" s="15" t="s">
        <v>50</v>
      </c>
      <c r="C17" s="5" t="str">
        <f t="shared" ref="C17:C23" si="0">UPPER(TRIM(B17))</f>
        <v>FUN227</v>
      </c>
      <c r="E17" s="5" t="s">
        <v>66</v>
      </c>
      <c r="F17" s="5" t="s">
        <v>67</v>
      </c>
      <c r="G17" s="5" t="s">
        <v>65</v>
      </c>
      <c r="H17" s="5">
        <v>756</v>
      </c>
    </row>
    <row r="18" spans="1:8" x14ac:dyDescent="0.45">
      <c r="A18" s="5" t="s">
        <v>43</v>
      </c>
      <c r="B18" s="15" t="s">
        <v>51</v>
      </c>
      <c r="C18" s="5" t="str">
        <f t="shared" si="0"/>
        <v>LSH684</v>
      </c>
      <c r="E18" s="5" t="s">
        <v>68</v>
      </c>
      <c r="F18" s="5" t="s">
        <v>64</v>
      </c>
      <c r="G18" s="5" t="s">
        <v>69</v>
      </c>
      <c r="H18" s="5">
        <v>959</v>
      </c>
    </row>
    <row r="19" spans="1:8" x14ac:dyDescent="0.45">
      <c r="A19" s="5" t="s">
        <v>44</v>
      </c>
      <c r="B19" s="15" t="s">
        <v>52</v>
      </c>
      <c r="C19" s="5" t="str">
        <f t="shared" si="0"/>
        <v>CMK143</v>
      </c>
      <c r="E19" s="5" t="s">
        <v>70</v>
      </c>
      <c r="F19" s="5" t="s">
        <v>64</v>
      </c>
      <c r="G19" s="5" t="s">
        <v>69</v>
      </c>
      <c r="H19" s="5">
        <v>812</v>
      </c>
    </row>
    <row r="20" spans="1:8" x14ac:dyDescent="0.45">
      <c r="A20" s="5" t="s">
        <v>45</v>
      </c>
      <c r="B20" s="15" t="s">
        <v>53</v>
      </c>
      <c r="C20" s="5" t="str">
        <f t="shared" si="0"/>
        <v>FUN362</v>
      </c>
      <c r="E20" s="5" t="s">
        <v>71</v>
      </c>
      <c r="F20" s="5" t="s">
        <v>67</v>
      </c>
      <c r="G20" s="5" t="s">
        <v>69</v>
      </c>
      <c r="H20" s="5">
        <v>507</v>
      </c>
    </row>
    <row r="21" spans="1:8" x14ac:dyDescent="0.45">
      <c r="A21" s="5" t="s">
        <v>46</v>
      </c>
      <c r="B21" s="15" t="s">
        <v>54</v>
      </c>
      <c r="C21" s="5" t="str">
        <f t="shared" si="0"/>
        <v>CMK307</v>
      </c>
      <c r="E21" s="5" t="s">
        <v>72</v>
      </c>
      <c r="F21" s="5" t="s">
        <v>67</v>
      </c>
      <c r="G21" s="5" t="s">
        <v>69</v>
      </c>
      <c r="H21" s="5">
        <v>682</v>
      </c>
    </row>
    <row r="22" spans="1:8" x14ac:dyDescent="0.45">
      <c r="A22" s="5" t="s">
        <v>47</v>
      </c>
      <c r="B22" s="15" t="s">
        <v>55</v>
      </c>
      <c r="C22" s="5" t="str">
        <f t="shared" si="0"/>
        <v>LSH684</v>
      </c>
      <c r="E22" s="5" t="s">
        <v>73</v>
      </c>
      <c r="F22" s="5" t="s">
        <v>64</v>
      </c>
      <c r="G22" s="5" t="s">
        <v>74</v>
      </c>
      <c r="H22" s="5">
        <v>877</v>
      </c>
    </row>
    <row r="23" spans="1:8" x14ac:dyDescent="0.45">
      <c r="A23" s="5" t="s">
        <v>48</v>
      </c>
      <c r="B23" s="15" t="s">
        <v>56</v>
      </c>
      <c r="C23" s="5" t="str">
        <f t="shared" si="0"/>
        <v>FUN491</v>
      </c>
      <c r="E23" s="5" t="s">
        <v>75</v>
      </c>
      <c r="F23" s="5" t="s">
        <v>67</v>
      </c>
      <c r="G23" s="5" t="s">
        <v>74</v>
      </c>
      <c r="H23" s="5">
        <v>860</v>
      </c>
    </row>
    <row r="24" spans="1:8" x14ac:dyDescent="0.45">
      <c r="E24" s="36" t="s">
        <v>76</v>
      </c>
      <c r="F24" s="38"/>
      <c r="G24" s="37"/>
      <c r="H24" s="5">
        <f>ROUNDUP(AVERAGEIFS(H16:H23,F16:F23,"영업A",H16:H23,"&gt;=800"),1)</f>
        <v>882.7</v>
      </c>
    </row>
    <row r="25" spans="1:8" x14ac:dyDescent="0.45">
      <c r="A25" s="3" t="s">
        <v>77</v>
      </c>
      <c r="B25" s="4" t="s">
        <v>78</v>
      </c>
    </row>
    <row r="26" spans="1:8" x14ac:dyDescent="0.45">
      <c r="A26" s="5" t="s">
        <v>79</v>
      </c>
      <c r="B26" s="5" t="s">
        <v>80</v>
      </c>
      <c r="C26" s="5" t="s">
        <v>81</v>
      </c>
      <c r="D26" s="6" t="s">
        <v>82</v>
      </c>
    </row>
    <row r="27" spans="1:8" x14ac:dyDescent="0.45">
      <c r="A27" s="5" t="s">
        <v>83</v>
      </c>
      <c r="B27" s="5">
        <v>1.76</v>
      </c>
      <c r="C27" s="5">
        <v>75</v>
      </c>
      <c r="D27" s="5" t="str">
        <f>IF(C27/POWER(B27,2)&lt;20,"저체중",IF(C27/POWER(B27,2)&lt;25,"정상","비만"))</f>
        <v>정상</v>
      </c>
    </row>
    <row r="28" spans="1:8" x14ac:dyDescent="0.45">
      <c r="A28" s="5" t="s">
        <v>84</v>
      </c>
      <c r="B28" s="5">
        <v>1.68</v>
      </c>
      <c r="C28" s="5">
        <v>78</v>
      </c>
      <c r="D28" s="5" t="str">
        <f t="shared" ref="D28:D34" si="1">IF(C28/POWER(B28,2)&lt;20,"저체중",IF(C28/POWER(B28,2)&lt;25,"정상","비만"))</f>
        <v>비만</v>
      </c>
    </row>
    <row r="29" spans="1:8" x14ac:dyDescent="0.45">
      <c r="A29" s="5" t="s">
        <v>85</v>
      </c>
      <c r="B29" s="5">
        <v>1.61</v>
      </c>
      <c r="C29" s="5">
        <v>50</v>
      </c>
      <c r="D29" s="5" t="str">
        <f t="shared" si="1"/>
        <v>저체중</v>
      </c>
    </row>
    <row r="30" spans="1:8" x14ac:dyDescent="0.45">
      <c r="A30" s="5" t="s">
        <v>86</v>
      </c>
      <c r="B30" s="5">
        <v>1.73</v>
      </c>
      <c r="C30" s="5">
        <v>70</v>
      </c>
      <c r="D30" s="5" t="str">
        <f t="shared" si="1"/>
        <v>정상</v>
      </c>
    </row>
    <row r="31" spans="1:8" x14ac:dyDescent="0.45">
      <c r="A31" s="5" t="s">
        <v>48</v>
      </c>
      <c r="B31" s="5">
        <v>1.64</v>
      </c>
      <c r="C31" s="5">
        <v>71</v>
      </c>
      <c r="D31" s="5" t="str">
        <f t="shared" si="1"/>
        <v>비만</v>
      </c>
    </row>
    <row r="32" spans="1:8" x14ac:dyDescent="0.45">
      <c r="A32" s="5" t="s">
        <v>87</v>
      </c>
      <c r="B32" s="5">
        <v>1.58</v>
      </c>
      <c r="C32" s="5">
        <v>51</v>
      </c>
      <c r="D32" s="5" t="str">
        <f t="shared" si="1"/>
        <v>정상</v>
      </c>
    </row>
    <row r="33" spans="1:4" x14ac:dyDescent="0.45">
      <c r="A33" s="5" t="s">
        <v>88</v>
      </c>
      <c r="B33" s="5">
        <v>1.71</v>
      </c>
      <c r="C33" s="5">
        <v>65</v>
      </c>
      <c r="D33" s="5" t="str">
        <f t="shared" si="1"/>
        <v>정상</v>
      </c>
    </row>
    <row r="34" spans="1:4" x14ac:dyDescent="0.45">
      <c r="A34" s="5" t="s">
        <v>89</v>
      </c>
      <c r="B34" s="5">
        <v>1.83</v>
      </c>
      <c r="C34" s="5">
        <v>70</v>
      </c>
      <c r="D34" s="5" t="str">
        <f t="shared" si="1"/>
        <v>정상</v>
      </c>
    </row>
  </sheetData>
  <mergeCells count="5">
    <mergeCell ref="H12:I12"/>
    <mergeCell ref="C12:D12"/>
    <mergeCell ref="C11:D11"/>
    <mergeCell ref="E24:G24"/>
    <mergeCell ref="F12:G12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A3692-5FA2-4EDE-8DC2-457C17D52B1E}">
  <dimension ref="A1:F26"/>
  <sheetViews>
    <sheetView workbookViewId="0">
      <selection sqref="A1:F1"/>
    </sheetView>
  </sheetViews>
  <sheetFormatPr defaultRowHeight="17" outlineLevelRow="3" x14ac:dyDescent="0.45"/>
  <cols>
    <col min="3" max="3" width="12.83203125" bestFit="1" customWidth="1"/>
    <col min="5" max="5" width="11.6640625" bestFit="1" customWidth="1"/>
    <col min="6" max="6" width="9.33203125" bestFit="1" customWidth="1"/>
  </cols>
  <sheetData>
    <row r="1" spans="1:6" ht="21" x14ac:dyDescent="0.45">
      <c r="A1" s="33" t="s">
        <v>149</v>
      </c>
      <c r="B1" s="33"/>
      <c r="C1" s="33"/>
      <c r="D1" s="33"/>
      <c r="E1" s="33"/>
      <c r="F1" s="33"/>
    </row>
    <row r="3" spans="1:6" x14ac:dyDescent="0.45">
      <c r="A3" s="27" t="s">
        <v>2</v>
      </c>
      <c r="B3" s="27" t="s">
        <v>21</v>
      </c>
      <c r="C3" s="27" t="s">
        <v>150</v>
      </c>
      <c r="D3" s="27" t="s">
        <v>61</v>
      </c>
      <c r="E3" s="27" t="s">
        <v>151</v>
      </c>
      <c r="F3" s="27" t="s">
        <v>152</v>
      </c>
    </row>
    <row r="4" spans="1:6" outlineLevel="3" x14ac:dyDescent="0.45">
      <c r="A4" s="5" t="s">
        <v>153</v>
      </c>
      <c r="B4" s="5" t="s">
        <v>28</v>
      </c>
      <c r="C4" s="5" t="s">
        <v>12</v>
      </c>
      <c r="D4" s="5" t="s">
        <v>69</v>
      </c>
      <c r="E4" s="7">
        <v>950000</v>
      </c>
      <c r="F4" s="7">
        <v>420000</v>
      </c>
    </row>
    <row r="5" spans="1:6" outlineLevel="3" x14ac:dyDescent="0.45">
      <c r="A5" s="5" t="s">
        <v>158</v>
      </c>
      <c r="B5" s="5" t="s">
        <v>25</v>
      </c>
      <c r="C5" s="5" t="s">
        <v>12</v>
      </c>
      <c r="D5" s="5" t="s">
        <v>69</v>
      </c>
      <c r="E5" s="7">
        <v>1250000</v>
      </c>
      <c r="F5" s="7">
        <v>145000</v>
      </c>
    </row>
    <row r="6" spans="1:6" outlineLevel="3" x14ac:dyDescent="0.45">
      <c r="A6" s="5" t="s">
        <v>161</v>
      </c>
      <c r="B6" s="5" t="s">
        <v>28</v>
      </c>
      <c r="C6" s="5" t="s">
        <v>12</v>
      </c>
      <c r="D6" s="5" t="s">
        <v>69</v>
      </c>
      <c r="E6" s="7">
        <v>1300000</v>
      </c>
      <c r="F6" s="7">
        <v>530000</v>
      </c>
    </row>
    <row r="7" spans="1:6" outlineLevel="3" x14ac:dyDescent="0.45">
      <c r="A7" s="5" t="s">
        <v>162</v>
      </c>
      <c r="B7" s="5" t="s">
        <v>25</v>
      </c>
      <c r="C7" s="5" t="s">
        <v>12</v>
      </c>
      <c r="D7" s="5" t="s">
        <v>69</v>
      </c>
      <c r="E7" s="7">
        <v>1400000</v>
      </c>
      <c r="F7" s="7">
        <v>789000</v>
      </c>
    </row>
    <row r="8" spans="1:6" outlineLevel="3" x14ac:dyDescent="0.45">
      <c r="A8" s="5" t="s">
        <v>163</v>
      </c>
      <c r="B8" s="5" t="s">
        <v>25</v>
      </c>
      <c r="C8" s="5" t="s">
        <v>12</v>
      </c>
      <c r="D8" s="5" t="s">
        <v>74</v>
      </c>
      <c r="E8" s="7">
        <v>950000</v>
      </c>
      <c r="F8" s="7">
        <v>856000</v>
      </c>
    </row>
    <row r="9" spans="1:6" outlineLevel="3" x14ac:dyDescent="0.45">
      <c r="A9" s="5" t="s">
        <v>167</v>
      </c>
      <c r="B9" s="5" t="s">
        <v>25</v>
      </c>
      <c r="C9" s="5" t="s">
        <v>12</v>
      </c>
      <c r="D9" s="5" t="s">
        <v>65</v>
      </c>
      <c r="E9" s="7">
        <v>1800000</v>
      </c>
      <c r="F9" s="7">
        <v>530000</v>
      </c>
    </row>
    <row r="10" spans="1:6" outlineLevel="3" x14ac:dyDescent="0.45">
      <c r="A10" s="5" t="s">
        <v>168</v>
      </c>
      <c r="B10" s="5" t="s">
        <v>25</v>
      </c>
      <c r="C10" s="5" t="s">
        <v>12</v>
      </c>
      <c r="D10" s="5" t="s">
        <v>156</v>
      </c>
      <c r="E10" s="7">
        <v>2550000</v>
      </c>
      <c r="F10" s="7">
        <v>420000</v>
      </c>
    </row>
    <row r="11" spans="1:6" outlineLevel="2" x14ac:dyDescent="0.45">
      <c r="A11" s="5"/>
      <c r="B11" s="5"/>
      <c r="C11" s="23" t="s">
        <v>290</v>
      </c>
      <c r="D11" s="5"/>
      <c r="E11" s="7"/>
      <c r="F11" s="7">
        <f>SUBTOTAL(1,F4:F10)</f>
        <v>527142.85714285716</v>
      </c>
    </row>
    <row r="12" spans="1:6" outlineLevel="1" x14ac:dyDescent="0.45">
      <c r="A12" s="5"/>
      <c r="B12" s="5"/>
      <c r="C12" s="23" t="s">
        <v>286</v>
      </c>
      <c r="D12" s="5"/>
      <c r="E12" s="7">
        <f>SUBTOTAL(9,E4:E10)</f>
        <v>10200000</v>
      </c>
      <c r="F12" s="7"/>
    </row>
    <row r="13" spans="1:6" outlineLevel="3" x14ac:dyDescent="0.45">
      <c r="A13" s="5" t="s">
        <v>159</v>
      </c>
      <c r="B13" s="5" t="s">
        <v>25</v>
      </c>
      <c r="C13" s="5" t="s">
        <v>160</v>
      </c>
      <c r="D13" s="5" t="s">
        <v>69</v>
      </c>
      <c r="E13" s="7">
        <v>1350000</v>
      </c>
      <c r="F13" s="7">
        <v>323000</v>
      </c>
    </row>
    <row r="14" spans="1:6" outlineLevel="3" x14ac:dyDescent="0.45">
      <c r="A14" s="5" t="s">
        <v>169</v>
      </c>
      <c r="B14" s="5" t="s">
        <v>28</v>
      </c>
      <c r="C14" s="5" t="s">
        <v>160</v>
      </c>
      <c r="D14" s="5" t="s">
        <v>156</v>
      </c>
      <c r="E14" s="7">
        <v>2400000</v>
      </c>
      <c r="F14" s="7">
        <v>782000</v>
      </c>
    </row>
    <row r="15" spans="1:6" outlineLevel="2" x14ac:dyDescent="0.45">
      <c r="A15" s="5"/>
      <c r="B15" s="5"/>
      <c r="C15" s="23" t="s">
        <v>291</v>
      </c>
      <c r="D15" s="5"/>
      <c r="E15" s="7"/>
      <c r="F15" s="7">
        <f>SUBTOTAL(1,F13:F14)</f>
        <v>552500</v>
      </c>
    </row>
    <row r="16" spans="1:6" outlineLevel="1" x14ac:dyDescent="0.45">
      <c r="A16" s="5"/>
      <c r="B16" s="5"/>
      <c r="C16" s="23" t="s">
        <v>287</v>
      </c>
      <c r="D16" s="5"/>
      <c r="E16" s="7">
        <f>SUBTOTAL(9,E13:E14)</f>
        <v>3750000</v>
      </c>
      <c r="F16" s="7"/>
    </row>
    <row r="17" spans="1:6" outlineLevel="3" x14ac:dyDescent="0.45">
      <c r="A17" s="5" t="s">
        <v>154</v>
      </c>
      <c r="B17" s="5" t="s">
        <v>25</v>
      </c>
      <c r="C17" s="5" t="s">
        <v>155</v>
      </c>
      <c r="D17" s="5" t="s">
        <v>156</v>
      </c>
      <c r="E17" s="7">
        <v>3500000</v>
      </c>
      <c r="F17" s="7">
        <v>540000</v>
      </c>
    </row>
    <row r="18" spans="1:6" outlineLevel="3" x14ac:dyDescent="0.45">
      <c r="A18" s="5" t="s">
        <v>157</v>
      </c>
      <c r="B18" s="5" t="s">
        <v>28</v>
      </c>
      <c r="C18" s="5" t="s">
        <v>155</v>
      </c>
      <c r="D18" s="5" t="s">
        <v>65</v>
      </c>
      <c r="E18" s="7">
        <v>2100000</v>
      </c>
      <c r="F18" s="7">
        <v>423000</v>
      </c>
    </row>
    <row r="19" spans="1:6" outlineLevel="3" x14ac:dyDescent="0.45">
      <c r="A19" s="5" t="s">
        <v>164</v>
      </c>
      <c r="B19" s="5" t="s">
        <v>25</v>
      </c>
      <c r="C19" s="5" t="s">
        <v>155</v>
      </c>
      <c r="D19" s="5" t="s">
        <v>69</v>
      </c>
      <c r="E19" s="7">
        <v>1350000</v>
      </c>
      <c r="F19" s="7">
        <v>756000</v>
      </c>
    </row>
    <row r="20" spans="1:6" outlineLevel="3" x14ac:dyDescent="0.45">
      <c r="A20" s="5" t="s">
        <v>165</v>
      </c>
      <c r="B20" s="5" t="s">
        <v>25</v>
      </c>
      <c r="C20" s="5" t="s">
        <v>155</v>
      </c>
      <c r="D20" s="5" t="s">
        <v>69</v>
      </c>
      <c r="E20" s="7">
        <v>1500000</v>
      </c>
      <c r="F20" s="7">
        <v>752000</v>
      </c>
    </row>
    <row r="21" spans="1:6" outlineLevel="3" x14ac:dyDescent="0.45">
      <c r="A21" s="5" t="s">
        <v>166</v>
      </c>
      <c r="B21" s="5" t="s">
        <v>25</v>
      </c>
      <c r="C21" s="5" t="s">
        <v>155</v>
      </c>
      <c r="D21" s="5" t="s">
        <v>156</v>
      </c>
      <c r="E21" s="7">
        <v>3300000</v>
      </c>
      <c r="F21" s="7">
        <v>247000</v>
      </c>
    </row>
    <row r="22" spans="1:6" outlineLevel="3" x14ac:dyDescent="0.45">
      <c r="A22" s="5" t="s">
        <v>170</v>
      </c>
      <c r="B22" s="5" t="s">
        <v>28</v>
      </c>
      <c r="C22" s="5" t="s">
        <v>155</v>
      </c>
      <c r="D22" s="5" t="s">
        <v>69</v>
      </c>
      <c r="E22" s="7">
        <v>1300000</v>
      </c>
      <c r="F22" s="7">
        <v>420000</v>
      </c>
    </row>
    <row r="23" spans="1:6" outlineLevel="2" x14ac:dyDescent="0.45">
      <c r="A23" s="24"/>
      <c r="B23" s="24"/>
      <c r="C23" s="26" t="s">
        <v>292</v>
      </c>
      <c r="D23" s="24"/>
      <c r="E23" s="25"/>
      <c r="F23" s="25">
        <f>SUBTOTAL(1,F17:F22)</f>
        <v>523000</v>
      </c>
    </row>
    <row r="24" spans="1:6" outlineLevel="1" x14ac:dyDescent="0.45">
      <c r="A24" s="24"/>
      <c r="B24" s="24"/>
      <c r="C24" s="26" t="s">
        <v>288</v>
      </c>
      <c r="D24" s="24"/>
      <c r="E24" s="25">
        <f>SUBTOTAL(9,E17:E22)</f>
        <v>13050000</v>
      </c>
      <c r="F24" s="25"/>
    </row>
    <row r="25" spans="1:6" x14ac:dyDescent="0.45">
      <c r="A25" s="24"/>
      <c r="B25" s="24"/>
      <c r="C25" s="26" t="s">
        <v>293</v>
      </c>
      <c r="D25" s="24"/>
      <c r="E25" s="25"/>
      <c r="F25" s="25">
        <f>SUBTOTAL(1,F4:F22)</f>
        <v>528866.66666666663</v>
      </c>
    </row>
    <row r="26" spans="1:6" x14ac:dyDescent="0.45">
      <c r="A26" s="24"/>
      <c r="B26" s="24"/>
      <c r="C26" s="26" t="s">
        <v>289</v>
      </c>
      <c r="D26" s="24"/>
      <c r="E26" s="25">
        <f>SUBTOTAL(9,E4:E22)</f>
        <v>27000000</v>
      </c>
      <c r="F26" s="25"/>
    </row>
  </sheetData>
  <sortState xmlns:xlrd2="http://schemas.microsoft.com/office/spreadsheetml/2017/richdata2" ref="A4:F22">
    <sortCondition ref="C4:C22"/>
  </sortState>
  <mergeCells count="1">
    <mergeCell ref="A1:F1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A07F4-DF05-4A2A-9EF5-835CD776EEF7}">
  <dimension ref="A1:I32"/>
  <sheetViews>
    <sheetView workbookViewId="0">
      <selection sqref="A1:I1"/>
    </sheetView>
  </sheetViews>
  <sheetFormatPr defaultRowHeight="17" x14ac:dyDescent="0.45"/>
  <cols>
    <col min="1" max="1" width="17.1640625" bestFit="1" customWidth="1"/>
    <col min="2" max="2" width="11.4140625" bestFit="1" customWidth="1"/>
    <col min="3" max="4" width="9" bestFit="1" customWidth="1"/>
    <col min="5" max="5" width="13.5" bestFit="1" customWidth="1"/>
    <col min="6" max="6" width="12.5" bestFit="1" customWidth="1"/>
    <col min="7" max="7" width="10.58203125" bestFit="1" customWidth="1"/>
    <col min="8" max="8" width="17.1640625" bestFit="1" customWidth="1"/>
    <col min="9" max="9" width="15.1640625" bestFit="1" customWidth="1"/>
  </cols>
  <sheetData>
    <row r="1" spans="1:9" ht="21" x14ac:dyDescent="0.45">
      <c r="A1" s="33" t="s">
        <v>171</v>
      </c>
      <c r="B1" s="33"/>
      <c r="C1" s="33"/>
      <c r="D1" s="33"/>
      <c r="E1" s="33"/>
      <c r="F1" s="33"/>
      <c r="G1" s="33"/>
      <c r="H1" s="33"/>
      <c r="I1" s="33"/>
    </row>
    <row r="3" spans="1:9" x14ac:dyDescent="0.45">
      <c r="A3" s="5" t="s">
        <v>172</v>
      </c>
      <c r="B3" s="5" t="s">
        <v>79</v>
      </c>
      <c r="C3" s="5" t="s">
        <v>60</v>
      </c>
      <c r="D3" s="5" t="s">
        <v>61</v>
      </c>
      <c r="E3" s="5" t="s">
        <v>173</v>
      </c>
      <c r="F3" s="5" t="s">
        <v>174</v>
      </c>
      <c r="G3" s="5" t="s">
        <v>152</v>
      </c>
      <c r="H3" s="5" t="s">
        <v>175</v>
      </c>
      <c r="I3" s="5" t="s">
        <v>176</v>
      </c>
    </row>
    <row r="4" spans="1:9" x14ac:dyDescent="0.45">
      <c r="A4" s="5" t="s">
        <v>177</v>
      </c>
      <c r="B4" s="5" t="s">
        <v>178</v>
      </c>
      <c r="C4" s="5" t="s">
        <v>179</v>
      </c>
      <c r="D4" s="5" t="s">
        <v>156</v>
      </c>
      <c r="E4" s="5">
        <v>16</v>
      </c>
      <c r="F4" s="7">
        <v>1600000</v>
      </c>
      <c r="G4" s="7">
        <v>480000</v>
      </c>
      <c r="H4" s="7">
        <v>208000</v>
      </c>
      <c r="I4" s="7">
        <v>2288000</v>
      </c>
    </row>
    <row r="5" spans="1:9" x14ac:dyDescent="0.45">
      <c r="A5" s="5" t="s">
        <v>180</v>
      </c>
      <c r="B5" s="5" t="s">
        <v>181</v>
      </c>
      <c r="C5" s="5" t="s">
        <v>155</v>
      </c>
      <c r="D5" s="5" t="s">
        <v>65</v>
      </c>
      <c r="E5" s="5">
        <v>9</v>
      </c>
      <c r="F5" s="7">
        <v>1250000</v>
      </c>
      <c r="G5" s="7">
        <v>375000</v>
      </c>
      <c r="H5" s="7">
        <v>62500</v>
      </c>
      <c r="I5" s="7">
        <v>1687500</v>
      </c>
    </row>
    <row r="6" spans="1:9" x14ac:dyDescent="0.45">
      <c r="A6" s="5" t="s">
        <v>182</v>
      </c>
      <c r="B6" s="5" t="s">
        <v>183</v>
      </c>
      <c r="C6" s="5" t="s">
        <v>179</v>
      </c>
      <c r="D6" s="5" t="s">
        <v>69</v>
      </c>
      <c r="E6" s="5">
        <v>4</v>
      </c>
      <c r="F6" s="7">
        <v>1000000</v>
      </c>
      <c r="G6" s="7">
        <v>200000</v>
      </c>
      <c r="H6" s="7">
        <v>20000</v>
      </c>
      <c r="I6" s="7">
        <v>1220000</v>
      </c>
    </row>
    <row r="7" spans="1:9" x14ac:dyDescent="0.45">
      <c r="A7" s="5" t="s">
        <v>184</v>
      </c>
      <c r="B7" s="5" t="s">
        <v>185</v>
      </c>
      <c r="C7" s="5" t="s">
        <v>160</v>
      </c>
      <c r="D7" s="5" t="s">
        <v>156</v>
      </c>
      <c r="E7" s="5">
        <v>12</v>
      </c>
      <c r="F7" s="7">
        <v>1400000</v>
      </c>
      <c r="G7" s="7">
        <v>420000</v>
      </c>
      <c r="H7" s="7">
        <v>112000</v>
      </c>
      <c r="I7" s="7">
        <v>1932000</v>
      </c>
    </row>
    <row r="8" spans="1:9" x14ac:dyDescent="0.45">
      <c r="A8" s="5" t="s">
        <v>186</v>
      </c>
      <c r="B8" s="5" t="s">
        <v>187</v>
      </c>
      <c r="C8" s="5" t="s">
        <v>155</v>
      </c>
      <c r="D8" s="5" t="s">
        <v>69</v>
      </c>
      <c r="E8" s="5">
        <v>3</v>
      </c>
      <c r="F8" s="7">
        <v>950000</v>
      </c>
      <c r="G8" s="7">
        <v>190000</v>
      </c>
      <c r="H8" s="7">
        <v>19000</v>
      </c>
      <c r="I8" s="7">
        <v>1159000</v>
      </c>
    </row>
    <row r="9" spans="1:9" x14ac:dyDescent="0.45">
      <c r="A9" s="5" t="s">
        <v>188</v>
      </c>
      <c r="B9" s="5" t="s">
        <v>189</v>
      </c>
      <c r="C9" s="5" t="s">
        <v>160</v>
      </c>
      <c r="D9" s="5" t="s">
        <v>69</v>
      </c>
      <c r="E9" s="5">
        <v>4</v>
      </c>
      <c r="F9" s="7">
        <v>1000000</v>
      </c>
      <c r="G9" s="7">
        <v>200000</v>
      </c>
      <c r="H9" s="7">
        <v>20000</v>
      </c>
      <c r="I9" s="7">
        <v>1220000</v>
      </c>
    </row>
    <row r="10" spans="1:9" x14ac:dyDescent="0.45">
      <c r="A10" s="5" t="s">
        <v>190</v>
      </c>
      <c r="B10" s="5" t="s">
        <v>191</v>
      </c>
      <c r="C10" s="5" t="s">
        <v>179</v>
      </c>
      <c r="D10" s="5" t="s">
        <v>65</v>
      </c>
      <c r="E10" s="5">
        <v>8</v>
      </c>
      <c r="F10" s="7">
        <v>1200000</v>
      </c>
      <c r="G10" s="7">
        <v>360000</v>
      </c>
      <c r="H10" s="7">
        <v>60000</v>
      </c>
      <c r="I10" s="7">
        <v>1620000</v>
      </c>
    </row>
    <row r="11" spans="1:9" x14ac:dyDescent="0.45">
      <c r="A11" s="5" t="s">
        <v>192</v>
      </c>
      <c r="B11" s="5" t="s">
        <v>193</v>
      </c>
      <c r="C11" s="5" t="s">
        <v>160</v>
      </c>
      <c r="D11" s="5" t="s">
        <v>65</v>
      </c>
      <c r="E11" s="5">
        <v>9</v>
      </c>
      <c r="F11" s="7">
        <v>1250000</v>
      </c>
      <c r="G11" s="7">
        <v>375000</v>
      </c>
      <c r="H11" s="7">
        <v>62500</v>
      </c>
      <c r="I11" s="7">
        <v>1687500</v>
      </c>
    </row>
    <row r="12" spans="1:9" x14ac:dyDescent="0.45">
      <c r="A12" s="5" t="s">
        <v>194</v>
      </c>
      <c r="B12" s="5" t="s">
        <v>195</v>
      </c>
      <c r="C12" s="5" t="s">
        <v>155</v>
      </c>
      <c r="D12" s="5" t="s">
        <v>156</v>
      </c>
      <c r="E12" s="5">
        <v>11</v>
      </c>
      <c r="F12" s="7">
        <v>1350000</v>
      </c>
      <c r="G12" s="7">
        <v>405000</v>
      </c>
      <c r="H12" s="7">
        <v>108000</v>
      </c>
      <c r="I12" s="7">
        <v>1863000</v>
      </c>
    </row>
    <row r="15" spans="1:9" x14ac:dyDescent="0.45">
      <c r="A15" s="28" t="s">
        <v>79</v>
      </c>
      <c r="B15" t="s">
        <v>294</v>
      </c>
    </row>
    <row r="17" spans="1:4" x14ac:dyDescent="0.45">
      <c r="B17" s="28" t="s">
        <v>296</v>
      </c>
    </row>
    <row r="18" spans="1:4" x14ac:dyDescent="0.45">
      <c r="A18" s="28" t="s">
        <v>295</v>
      </c>
      <c r="B18" t="s">
        <v>65</v>
      </c>
      <c r="C18" t="s">
        <v>69</v>
      </c>
      <c r="D18" t="s">
        <v>156</v>
      </c>
    </row>
    <row r="19" spans="1:4" x14ac:dyDescent="0.45">
      <c r="A19" s="29" t="s">
        <v>301</v>
      </c>
      <c r="B19" s="31"/>
      <c r="C19" s="31"/>
      <c r="D19" s="31"/>
    </row>
    <row r="20" spans="1:4" x14ac:dyDescent="0.45">
      <c r="A20" s="30" t="s">
        <v>297</v>
      </c>
      <c r="B20" s="31"/>
      <c r="C20" s="31">
        <v>196666.66666666666</v>
      </c>
      <c r="D20" s="31"/>
    </row>
    <row r="21" spans="1:4" x14ac:dyDescent="0.45">
      <c r="A21" s="30" t="s">
        <v>299</v>
      </c>
      <c r="B21" s="31"/>
      <c r="C21" s="31">
        <v>19666.666666666668</v>
      </c>
      <c r="D21" s="31"/>
    </row>
    <row r="22" spans="1:4" x14ac:dyDescent="0.45">
      <c r="A22" s="29" t="s">
        <v>302</v>
      </c>
      <c r="B22" s="31"/>
      <c r="C22" s="31"/>
      <c r="D22" s="31"/>
    </row>
    <row r="23" spans="1:4" x14ac:dyDescent="0.45">
      <c r="A23" s="30" t="s">
        <v>297</v>
      </c>
      <c r="B23" s="31">
        <v>360000</v>
      </c>
      <c r="C23" s="31"/>
      <c r="D23" s="31"/>
    </row>
    <row r="24" spans="1:4" x14ac:dyDescent="0.45">
      <c r="A24" s="30" t="s">
        <v>299</v>
      </c>
      <c r="B24" s="31">
        <v>60000</v>
      </c>
      <c r="C24" s="31"/>
      <c r="D24" s="31"/>
    </row>
    <row r="25" spans="1:4" x14ac:dyDescent="0.45">
      <c r="A25" s="29" t="s">
        <v>303</v>
      </c>
      <c r="B25" s="31"/>
      <c r="C25" s="31"/>
      <c r="D25" s="31"/>
    </row>
    <row r="26" spans="1:4" x14ac:dyDescent="0.45">
      <c r="A26" s="30" t="s">
        <v>297</v>
      </c>
      <c r="B26" s="31">
        <v>375000</v>
      </c>
      <c r="C26" s="31"/>
      <c r="D26" s="31">
        <v>412500</v>
      </c>
    </row>
    <row r="27" spans="1:4" x14ac:dyDescent="0.45">
      <c r="A27" s="30" t="s">
        <v>299</v>
      </c>
      <c r="B27" s="31">
        <v>62500</v>
      </c>
      <c r="C27" s="31"/>
      <c r="D27" s="31">
        <v>110000</v>
      </c>
    </row>
    <row r="28" spans="1:4" x14ac:dyDescent="0.45">
      <c r="A28" s="29" t="s">
        <v>304</v>
      </c>
      <c r="B28" s="31"/>
      <c r="C28" s="31"/>
      <c r="D28" s="31"/>
    </row>
    <row r="29" spans="1:4" x14ac:dyDescent="0.45">
      <c r="A29" s="30" t="s">
        <v>297</v>
      </c>
      <c r="B29" s="31"/>
      <c r="C29" s="31"/>
      <c r="D29" s="31">
        <v>480000</v>
      </c>
    </row>
    <row r="30" spans="1:4" x14ac:dyDescent="0.45">
      <c r="A30" s="30" t="s">
        <v>299</v>
      </c>
      <c r="B30" s="31"/>
      <c r="C30" s="31"/>
      <c r="D30" s="31">
        <v>208000</v>
      </c>
    </row>
    <row r="31" spans="1:4" x14ac:dyDescent="0.45">
      <c r="A31" s="29" t="s">
        <v>298</v>
      </c>
      <c r="B31" s="31">
        <v>370000</v>
      </c>
      <c r="C31" s="31">
        <v>196666.66666666666</v>
      </c>
      <c r="D31" s="31">
        <v>435000</v>
      </c>
    </row>
    <row r="32" spans="1:4" x14ac:dyDescent="0.45">
      <c r="A32" s="29" t="s">
        <v>300</v>
      </c>
      <c r="B32" s="31">
        <v>61666.666666666664</v>
      </c>
      <c r="C32" s="31">
        <v>19666.666666666668</v>
      </c>
      <c r="D32" s="31">
        <v>142666.66666666666</v>
      </c>
    </row>
  </sheetData>
  <mergeCells count="1">
    <mergeCell ref="A1:I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0A60D-4471-4495-AF52-74BBBEB51585}">
  <dimension ref="A1:H4"/>
  <sheetViews>
    <sheetView workbookViewId="0">
      <selection sqref="A1:H1"/>
    </sheetView>
  </sheetViews>
  <sheetFormatPr defaultRowHeight="17" x14ac:dyDescent="0.45"/>
  <cols>
    <col min="1" max="2" width="8.6640625" customWidth="1"/>
    <col min="3" max="3" width="10.58203125" bestFit="1" customWidth="1"/>
    <col min="4" max="5" width="9.08203125" bestFit="1" customWidth="1"/>
    <col min="6" max="7" width="10.58203125" bestFit="1" customWidth="1"/>
    <col min="8" max="8" width="10.4140625" bestFit="1" customWidth="1"/>
  </cols>
  <sheetData>
    <row r="1" spans="1:8" ht="21" x14ac:dyDescent="0.45">
      <c r="A1" s="33" t="s">
        <v>196</v>
      </c>
      <c r="B1" s="33"/>
      <c r="C1" s="33"/>
      <c r="D1" s="33"/>
      <c r="E1" s="33"/>
      <c r="F1" s="33"/>
      <c r="G1" s="33"/>
      <c r="H1" s="33"/>
    </row>
    <row r="3" spans="1:8" x14ac:dyDescent="0.45">
      <c r="A3" s="5" t="s">
        <v>197</v>
      </c>
      <c r="B3" s="5" t="s">
        <v>198</v>
      </c>
      <c r="C3" s="5" t="s">
        <v>199</v>
      </c>
      <c r="D3" s="5" t="s">
        <v>200</v>
      </c>
      <c r="E3" s="5" t="s">
        <v>201</v>
      </c>
      <c r="F3" s="5" t="s">
        <v>202</v>
      </c>
      <c r="G3" s="5" t="s">
        <v>203</v>
      </c>
      <c r="H3" s="5" t="s">
        <v>204</v>
      </c>
    </row>
    <row r="4" spans="1:8" x14ac:dyDescent="0.45">
      <c r="A4" s="7">
        <v>6000</v>
      </c>
      <c r="B4" s="7">
        <v>1000</v>
      </c>
      <c r="C4" s="7">
        <v>1000000</v>
      </c>
      <c r="D4" s="7">
        <v>500000</v>
      </c>
      <c r="E4" s="7">
        <v>500000</v>
      </c>
      <c r="F4" s="7">
        <f>A4*B4</f>
        <v>6000000</v>
      </c>
      <c r="G4" s="7">
        <f>F4-C4-D4-E4</f>
        <v>4000000</v>
      </c>
      <c r="H4" s="8">
        <f>G4/F4</f>
        <v>0.66666666666666663</v>
      </c>
    </row>
  </sheetData>
  <mergeCells count="1">
    <mergeCell ref="A1:H1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015D3-D7EB-4691-853E-B0059126ED76}">
  <dimension ref="A1:G12"/>
  <sheetViews>
    <sheetView workbookViewId="0">
      <selection sqref="A1:G1"/>
    </sheetView>
  </sheetViews>
  <sheetFormatPr defaultRowHeight="17" x14ac:dyDescent="0.45"/>
  <cols>
    <col min="2" max="2" width="9.6640625" bestFit="1" customWidth="1"/>
    <col min="3" max="5" width="9.08203125" bestFit="1" customWidth="1"/>
    <col min="6" max="6" width="13.08203125" customWidth="1"/>
  </cols>
  <sheetData>
    <row r="1" spans="1:7" ht="21" x14ac:dyDescent="0.45">
      <c r="A1" s="33" t="s">
        <v>205</v>
      </c>
      <c r="B1" s="33"/>
      <c r="C1" s="33"/>
      <c r="D1" s="33"/>
      <c r="E1" s="33"/>
      <c r="F1" s="33"/>
      <c r="G1" s="33"/>
    </row>
    <row r="3" spans="1:7" ht="34" x14ac:dyDescent="0.45">
      <c r="A3" s="5" t="s">
        <v>206</v>
      </c>
      <c r="B3" s="5" t="s">
        <v>208</v>
      </c>
      <c r="C3" s="9" t="s">
        <v>209</v>
      </c>
      <c r="D3" s="9" t="s">
        <v>210</v>
      </c>
      <c r="E3" s="5" t="s">
        <v>211</v>
      </c>
      <c r="F3" s="5" t="s">
        <v>212</v>
      </c>
      <c r="G3" s="5" t="s">
        <v>213</v>
      </c>
    </row>
    <row r="4" spans="1:7" x14ac:dyDescent="0.45">
      <c r="A4" s="5" t="s">
        <v>214</v>
      </c>
      <c r="B4" s="32">
        <v>70</v>
      </c>
      <c r="C4" s="7">
        <v>85</v>
      </c>
      <c r="D4" s="7">
        <v>100</v>
      </c>
      <c r="E4" s="32">
        <f>B4*1332</f>
        <v>93240</v>
      </c>
      <c r="F4" s="32">
        <f>(C4+D4)*E4</f>
        <v>17249400</v>
      </c>
      <c r="G4" s="5">
        <f>_xlfn.RANK.EQ(F4,$F$4:$F$11)</f>
        <v>8</v>
      </c>
    </row>
    <row r="5" spans="1:7" x14ac:dyDescent="0.45">
      <c r="A5" s="5" t="s">
        <v>215</v>
      </c>
      <c r="B5" s="32">
        <v>75</v>
      </c>
      <c r="C5" s="7">
        <v>265</v>
      </c>
      <c r="D5" s="7">
        <v>175</v>
      </c>
      <c r="E5" s="32">
        <f t="shared" ref="E5:E11" si="0">B5*1332</f>
        <v>99900</v>
      </c>
      <c r="F5" s="32">
        <f t="shared" ref="F5:F11" si="1">(C5+D5)*E5</f>
        <v>43956000</v>
      </c>
      <c r="G5" s="5">
        <f t="shared" ref="G5:G11" si="2">_xlfn.RANK.EQ(F5,$F$4:$F$11)</f>
        <v>4</v>
      </c>
    </row>
    <row r="6" spans="1:7" x14ac:dyDescent="0.45">
      <c r="A6" s="5" t="s">
        <v>216</v>
      </c>
      <c r="B6" s="32">
        <v>90</v>
      </c>
      <c r="C6" s="7">
        <v>300</v>
      </c>
      <c r="D6" s="7">
        <v>240</v>
      </c>
      <c r="E6" s="32">
        <f t="shared" si="0"/>
        <v>119880</v>
      </c>
      <c r="F6" s="32">
        <f t="shared" si="1"/>
        <v>64735200</v>
      </c>
      <c r="G6" s="5">
        <f t="shared" si="2"/>
        <v>3</v>
      </c>
    </row>
    <row r="7" spans="1:7" x14ac:dyDescent="0.45">
      <c r="A7" s="5" t="s">
        <v>217</v>
      </c>
      <c r="B7" s="32">
        <v>45</v>
      </c>
      <c r="C7" s="7">
        <v>120</v>
      </c>
      <c r="D7" s="7">
        <v>315</v>
      </c>
      <c r="E7" s="32">
        <f t="shared" si="0"/>
        <v>59940</v>
      </c>
      <c r="F7" s="32">
        <f t="shared" si="1"/>
        <v>26073900</v>
      </c>
      <c r="G7" s="5">
        <f t="shared" si="2"/>
        <v>5</v>
      </c>
    </row>
    <row r="8" spans="1:7" x14ac:dyDescent="0.45">
      <c r="A8" s="5" t="s">
        <v>218</v>
      </c>
      <c r="B8" s="32">
        <v>50</v>
      </c>
      <c r="C8" s="7">
        <v>550</v>
      </c>
      <c r="D8" s="7">
        <v>550</v>
      </c>
      <c r="E8" s="32">
        <f t="shared" si="0"/>
        <v>66600</v>
      </c>
      <c r="F8" s="32">
        <f t="shared" si="1"/>
        <v>73260000</v>
      </c>
      <c r="G8" s="5">
        <f t="shared" si="2"/>
        <v>2</v>
      </c>
    </row>
    <row r="9" spans="1:7" x14ac:dyDescent="0.45">
      <c r="A9" s="5" t="s">
        <v>219</v>
      </c>
      <c r="B9" s="32">
        <v>100</v>
      </c>
      <c r="C9" s="7">
        <v>570</v>
      </c>
      <c r="D9" s="7">
        <v>30</v>
      </c>
      <c r="E9" s="32">
        <f t="shared" si="0"/>
        <v>133200</v>
      </c>
      <c r="F9" s="32">
        <f t="shared" si="1"/>
        <v>79920000</v>
      </c>
      <c r="G9" s="5">
        <f t="shared" si="2"/>
        <v>1</v>
      </c>
    </row>
    <row r="10" spans="1:7" x14ac:dyDescent="0.45">
      <c r="A10" s="5" t="s">
        <v>220</v>
      </c>
      <c r="B10" s="32">
        <v>35</v>
      </c>
      <c r="C10" s="7">
        <v>173</v>
      </c>
      <c r="D10" s="7">
        <v>254</v>
      </c>
      <c r="E10" s="32">
        <f t="shared" si="0"/>
        <v>46620</v>
      </c>
      <c r="F10" s="32">
        <f t="shared" si="1"/>
        <v>19906740</v>
      </c>
      <c r="G10" s="5">
        <f t="shared" si="2"/>
        <v>6</v>
      </c>
    </row>
    <row r="11" spans="1:7" x14ac:dyDescent="0.45">
      <c r="A11" s="5" t="s">
        <v>221</v>
      </c>
      <c r="B11" s="32">
        <v>40</v>
      </c>
      <c r="C11" s="7">
        <v>150</v>
      </c>
      <c r="D11" s="7">
        <v>180</v>
      </c>
      <c r="E11" s="32">
        <f t="shared" si="0"/>
        <v>53280</v>
      </c>
      <c r="F11" s="32">
        <f t="shared" si="1"/>
        <v>17582400</v>
      </c>
      <c r="G11" s="5">
        <f t="shared" si="2"/>
        <v>7</v>
      </c>
    </row>
    <row r="12" spans="1:7" x14ac:dyDescent="0.45">
      <c r="A12" s="39" t="s">
        <v>222</v>
      </c>
      <c r="B12" s="39"/>
      <c r="C12" s="7">
        <f>SUM(C4:C11)</f>
        <v>2213</v>
      </c>
      <c r="D12" s="7">
        <f t="shared" ref="D12:F12" si="3">SUM(D4:D11)</f>
        <v>1844</v>
      </c>
      <c r="E12" s="32">
        <f t="shared" si="3"/>
        <v>672660</v>
      </c>
      <c r="F12" s="32">
        <f t="shared" si="3"/>
        <v>342683640</v>
      </c>
      <c r="G12" s="10"/>
    </row>
  </sheetData>
  <mergeCells count="2">
    <mergeCell ref="A1:G1"/>
    <mergeCell ref="A12:B12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합계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F3BA1-4B3D-4054-B67D-E65B64F89924}">
  <dimension ref="A1:G10"/>
  <sheetViews>
    <sheetView workbookViewId="0">
      <selection sqref="A1:G1"/>
    </sheetView>
  </sheetViews>
  <sheetFormatPr defaultRowHeight="17" x14ac:dyDescent="0.45"/>
  <cols>
    <col min="1" max="1" width="11.08203125" bestFit="1" customWidth="1"/>
    <col min="2" max="3" width="9.08203125" bestFit="1" customWidth="1"/>
    <col min="4" max="4" width="9.33203125" bestFit="1" customWidth="1"/>
    <col min="5" max="5" width="9.08203125" bestFit="1" customWidth="1"/>
  </cols>
  <sheetData>
    <row r="1" spans="1:7" ht="21" x14ac:dyDescent="0.45">
      <c r="A1" s="33" t="s">
        <v>223</v>
      </c>
      <c r="B1" s="33"/>
      <c r="C1" s="33"/>
      <c r="D1" s="33"/>
      <c r="E1" s="33"/>
      <c r="F1" s="33"/>
      <c r="G1" s="33"/>
    </row>
    <row r="2" spans="1:7" x14ac:dyDescent="0.45">
      <c r="G2" s="11" t="s">
        <v>224</v>
      </c>
    </row>
    <row r="3" spans="1:7" x14ac:dyDescent="0.45">
      <c r="A3" s="5" t="s">
        <v>225</v>
      </c>
      <c r="B3" s="5" t="s">
        <v>207</v>
      </c>
      <c r="C3" s="5" t="s">
        <v>62</v>
      </c>
      <c r="D3" s="5" t="s">
        <v>226</v>
      </c>
      <c r="E3" s="5" t="s">
        <v>227</v>
      </c>
      <c r="F3" s="5" t="s">
        <v>228</v>
      </c>
      <c r="G3" s="5" t="s">
        <v>229</v>
      </c>
    </row>
    <row r="4" spans="1:7" x14ac:dyDescent="0.45">
      <c r="A4" s="5" t="s">
        <v>230</v>
      </c>
      <c r="B4" s="13">
        <v>2500</v>
      </c>
      <c r="C4" s="13">
        <v>50</v>
      </c>
      <c r="D4" s="13">
        <v>125000</v>
      </c>
      <c r="E4" s="13">
        <v>45</v>
      </c>
      <c r="F4" s="12">
        <v>1.1111</v>
      </c>
      <c r="G4" s="5" t="s">
        <v>231</v>
      </c>
    </row>
    <row r="5" spans="1:7" x14ac:dyDescent="0.45">
      <c r="A5" s="5" t="s">
        <v>232</v>
      </c>
      <c r="B5" s="13">
        <v>1630</v>
      </c>
      <c r="C5" s="13">
        <v>250</v>
      </c>
      <c r="D5" s="13">
        <v>407500</v>
      </c>
      <c r="E5" s="13">
        <v>245</v>
      </c>
      <c r="F5" s="12">
        <v>1.0204</v>
      </c>
      <c r="G5" s="5" t="s">
        <v>231</v>
      </c>
    </row>
    <row r="6" spans="1:7" x14ac:dyDescent="0.45">
      <c r="A6" s="5" t="s">
        <v>233</v>
      </c>
      <c r="B6" s="13">
        <v>450</v>
      </c>
      <c r="C6" s="13">
        <v>15</v>
      </c>
      <c r="D6" s="13">
        <v>6750</v>
      </c>
      <c r="E6" s="13">
        <v>50</v>
      </c>
      <c r="F6" s="12">
        <v>0.3</v>
      </c>
      <c r="G6" s="5" t="s">
        <v>234</v>
      </c>
    </row>
    <row r="7" spans="1:7" x14ac:dyDescent="0.45">
      <c r="A7" s="5" t="s">
        <v>235</v>
      </c>
      <c r="B7" s="13">
        <v>150</v>
      </c>
      <c r="C7" s="13">
        <v>150</v>
      </c>
      <c r="D7" s="13">
        <v>22500</v>
      </c>
      <c r="E7" s="13">
        <v>150</v>
      </c>
      <c r="F7" s="12">
        <v>1</v>
      </c>
      <c r="G7" s="5" t="s">
        <v>236</v>
      </c>
    </row>
    <row r="8" spans="1:7" x14ac:dyDescent="0.45">
      <c r="A8" s="5" t="s">
        <v>237</v>
      </c>
      <c r="B8" s="13">
        <v>150</v>
      </c>
      <c r="C8" s="13">
        <v>154</v>
      </c>
      <c r="D8" s="13">
        <v>23100</v>
      </c>
      <c r="E8" s="13">
        <v>250</v>
      </c>
      <c r="F8" s="12">
        <v>0.61599999999999999</v>
      </c>
      <c r="G8" s="5" t="s">
        <v>234</v>
      </c>
    </row>
    <row r="9" spans="1:7" x14ac:dyDescent="0.45">
      <c r="A9" s="5" t="s">
        <v>238</v>
      </c>
      <c r="B9" s="13">
        <v>60</v>
      </c>
      <c r="C9" s="13">
        <v>578</v>
      </c>
      <c r="D9" s="13">
        <v>34680</v>
      </c>
      <c r="E9" s="13">
        <v>450</v>
      </c>
      <c r="F9" s="12">
        <v>1.2844</v>
      </c>
      <c r="G9" s="5" t="s">
        <v>231</v>
      </c>
    </row>
    <row r="10" spans="1:7" x14ac:dyDescent="0.45">
      <c r="A10" s="39" t="s">
        <v>222</v>
      </c>
      <c r="B10" s="39"/>
      <c r="C10" s="14">
        <f>SUM(C4:C9)</f>
        <v>1197</v>
      </c>
      <c r="D10" s="14">
        <f>SUM(D4:D9)</f>
        <v>619530</v>
      </c>
    </row>
  </sheetData>
  <mergeCells count="2">
    <mergeCell ref="A1:G1"/>
    <mergeCell ref="A10:B10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 지정된 범위</vt:lpstr>
      </vt:variant>
      <vt:variant>
        <vt:i4>2</vt:i4>
      </vt:variant>
    </vt:vector>
  </HeadingPairs>
  <TitlesOfParts>
    <vt:vector size="12" baseType="lpstr">
      <vt:lpstr>기본작업-1</vt:lpstr>
      <vt:lpstr>기본작업-2</vt:lpstr>
      <vt:lpstr>기본작업-3</vt:lpstr>
      <vt:lpstr>기본작업-4</vt:lpstr>
      <vt:lpstr>계산작업</vt:lpstr>
      <vt:lpstr>분석작업-1</vt:lpstr>
      <vt:lpstr>분석작업-2</vt:lpstr>
      <vt:lpstr>분석작업-3</vt:lpstr>
      <vt:lpstr>매크로작업</vt:lpstr>
      <vt:lpstr>차트작업</vt:lpstr>
      <vt:lpstr>'기본작업-4'!Criteria</vt:lpstr>
      <vt:lpstr>'기본작업-4'!Extract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2024-07-16T07:41:58Z</dcterms:modified>
</cp:coreProperties>
</file>