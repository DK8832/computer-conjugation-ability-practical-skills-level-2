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AB0E501E-ECAC-4ADA-9117-E2251546ABE6}" xr6:coauthVersionLast="47" xr6:coauthVersionMax="47" xr10:uidLastSave="{00000000-0000-0000-0000-000000000000}"/>
  <bookViews>
    <workbookView xWindow="-32470" yWindow="232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9" r:id="rId4"/>
    <sheet name="계산작업" sheetId="4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0" l="1"/>
  <c r="G14" i="10"/>
  <c r="H6" i="10"/>
  <c r="H7" i="10"/>
  <c r="H8" i="10"/>
  <c r="H9" i="10"/>
  <c r="H10" i="10"/>
  <c r="H11" i="10"/>
  <c r="H12" i="10"/>
  <c r="H13" i="10"/>
  <c r="H5" i="10"/>
  <c r="G6" i="10"/>
  <c r="G7" i="10"/>
  <c r="G8" i="10"/>
  <c r="G9" i="10"/>
  <c r="G10" i="10"/>
  <c r="G11" i="10"/>
  <c r="G12" i="10"/>
  <c r="G13" i="10"/>
  <c r="G5" i="10"/>
  <c r="F6" i="10"/>
  <c r="F7" i="10"/>
  <c r="F8" i="10"/>
  <c r="F9" i="10"/>
  <c r="F10" i="10"/>
  <c r="F11" i="10"/>
  <c r="F12" i="10"/>
  <c r="F13" i="10"/>
  <c r="F5" i="10"/>
  <c r="D6" i="10"/>
  <c r="D7" i="10"/>
  <c r="D8" i="10"/>
  <c r="D9" i="10"/>
  <c r="D10" i="10"/>
  <c r="D11" i="10"/>
  <c r="D12" i="10"/>
  <c r="D13" i="10"/>
  <c r="D5" i="10"/>
  <c r="J5" i="9" l="1"/>
  <c r="J6" i="9"/>
  <c r="J7" i="9"/>
  <c r="J8" i="9"/>
  <c r="J9" i="9"/>
  <c r="J10" i="9"/>
  <c r="J11" i="9"/>
  <c r="J12" i="9"/>
  <c r="J13" i="9"/>
  <c r="J4" i="9"/>
  <c r="I5" i="9"/>
  <c r="I6" i="9"/>
  <c r="I7" i="9"/>
  <c r="I8" i="9"/>
  <c r="I9" i="9"/>
  <c r="I10" i="9"/>
  <c r="I11" i="9"/>
  <c r="I12" i="9"/>
  <c r="I13" i="9"/>
  <c r="I4" i="9"/>
  <c r="H5" i="9"/>
  <c r="H6" i="9"/>
  <c r="H7" i="9"/>
  <c r="H8" i="9"/>
  <c r="H9" i="9"/>
  <c r="H10" i="9"/>
  <c r="H11" i="9"/>
  <c r="H12" i="9"/>
  <c r="H13" i="9"/>
  <c r="H4" i="9"/>
  <c r="D5" i="9"/>
  <c r="E5" i="9"/>
  <c r="F5" i="9" s="1"/>
  <c r="D6" i="9"/>
  <c r="E6" i="9"/>
  <c r="F6" i="9" s="1"/>
  <c r="D7" i="9"/>
  <c r="E7" i="9"/>
  <c r="F7" i="9" s="1"/>
  <c r="D8" i="9"/>
  <c r="E8" i="9" s="1"/>
  <c r="F8" i="9" s="1"/>
  <c r="D9" i="9"/>
  <c r="E9" i="9"/>
  <c r="F9" i="9" s="1"/>
  <c r="D10" i="9"/>
  <c r="E10" i="9" s="1"/>
  <c r="F10" i="9" s="1"/>
  <c r="D11" i="9"/>
  <c r="E11" i="9" s="1"/>
  <c r="F11" i="9" s="1"/>
  <c r="D12" i="9"/>
  <c r="E12" i="9"/>
  <c r="F12" i="9"/>
  <c r="D13" i="9"/>
  <c r="E13" i="9"/>
  <c r="F13" i="9" s="1"/>
  <c r="F4" i="9"/>
  <c r="E4" i="9"/>
  <c r="D4" i="9"/>
</calcChain>
</file>

<file path=xl/sharedStrings.xml><?xml version="1.0" encoding="utf-8"?>
<sst xmlns="http://schemas.openxmlformats.org/spreadsheetml/2006/main" count="301" uniqueCount="237">
  <si>
    <t>직위</t>
  </si>
  <si>
    <t>이름</t>
  </si>
  <si>
    <t>대리</t>
  </si>
  <si>
    <t>관리부</t>
  </si>
  <si>
    <t>과장</t>
  </si>
  <si>
    <t>사원</t>
  </si>
  <si>
    <t>등산동아리 회원</t>
    <phoneticPr fontId="1" type="noConversion"/>
  </si>
  <si>
    <t xml:space="preserve">[표1] </t>
  </si>
  <si>
    <t>씽씽퀵 요금</t>
  </si>
  <si>
    <t>고객번호</t>
  </si>
  <si>
    <t>출발시간</t>
  </si>
  <si>
    <t>도착시간</t>
  </si>
  <si>
    <t>요금</t>
  </si>
  <si>
    <t>QK-3982</t>
  </si>
  <si>
    <t>QK-7411</t>
  </si>
  <si>
    <t>QK-5634</t>
  </si>
  <si>
    <t>QK-2286</t>
  </si>
  <si>
    <t>QK-3241</t>
  </si>
  <si>
    <t>QK-8104</t>
  </si>
  <si>
    <t>QK-6079</t>
  </si>
  <si>
    <t>QK-1668</t>
  </si>
  <si>
    <t>[표2]</t>
  </si>
  <si>
    <t>지원자 현황</t>
  </si>
  <si>
    <t>성명</t>
  </si>
  <si>
    <t>면접점수</t>
  </si>
  <si>
    <t>필기점수</t>
  </si>
  <si>
    <t>결과</t>
  </si>
  <si>
    <t>김한국</t>
  </si>
  <si>
    <t>정미애</t>
  </si>
  <si>
    <t>박진만</t>
  </si>
  <si>
    <t>강현태</t>
  </si>
  <si>
    <t>강수정</t>
  </si>
  <si>
    <t>최현우</t>
  </si>
  <si>
    <t>박미정</t>
  </si>
  <si>
    <t>안혁진</t>
  </si>
  <si>
    <t>[표3]</t>
  </si>
  <si>
    <t>성과급</t>
  </si>
  <si>
    <t>부서명</t>
  </si>
  <si>
    <t>전현수</t>
  </si>
  <si>
    <t>영업부</t>
  </si>
  <si>
    <t>김명훈</t>
  </si>
  <si>
    <t>하현호</t>
  </si>
  <si>
    <t>판매부</t>
  </si>
  <si>
    <t>강진성</t>
  </si>
  <si>
    <t>박희선</t>
  </si>
  <si>
    <t>엄정희</t>
  </si>
  <si>
    <t>이성식</t>
  </si>
  <si>
    <t>김영희</t>
  </si>
  <si>
    <t>판매부 대리 합계</t>
  </si>
  <si>
    <t>[표4]</t>
  </si>
  <si>
    <t xml:space="preserve">인사 자료 </t>
  </si>
  <si>
    <t>사원코드</t>
  </si>
  <si>
    <t>소속</t>
  </si>
  <si>
    <t>평점</t>
  </si>
  <si>
    <t>김진국</t>
  </si>
  <si>
    <t>Y120</t>
  </si>
  <si>
    <t>박동희</t>
  </si>
  <si>
    <t>K250</t>
  </si>
  <si>
    <t>서영수</t>
  </si>
  <si>
    <t>Y320</t>
  </si>
  <si>
    <t>강남영</t>
  </si>
  <si>
    <t>P952</t>
  </si>
  <si>
    <t>명운수</t>
  </si>
  <si>
    <t>G650</t>
  </si>
  <si>
    <t>경리부</t>
  </si>
  <si>
    <t>이성철</t>
  </si>
  <si>
    <t>K320</t>
  </si>
  <si>
    <t>김소연</t>
  </si>
  <si>
    <t>G623</t>
  </si>
  <si>
    <t>최고수</t>
  </si>
  <si>
    <t>Y012</t>
  </si>
  <si>
    <t>&lt;소속코드표&gt;</t>
  </si>
  <si>
    <t>Y</t>
  </si>
  <si>
    <t>K</t>
  </si>
  <si>
    <t>G</t>
  </si>
  <si>
    <t>P</t>
  </si>
  <si>
    <t>[표5]</t>
  </si>
  <si>
    <t>스태킹 챔피언십</t>
  </si>
  <si>
    <t>참가번호</t>
  </si>
  <si>
    <t>기록</t>
  </si>
  <si>
    <t>순위</t>
  </si>
  <si>
    <t>ST-0001</t>
  </si>
  <si>
    <t>ST-0002</t>
  </si>
  <si>
    <t>ST-0003</t>
  </si>
  <si>
    <t>ST-0004</t>
  </si>
  <si>
    <t>ST-0005</t>
  </si>
  <si>
    <t>ST-0006</t>
  </si>
  <si>
    <t>ST-0007</t>
  </si>
  <si>
    <t>ST-0008</t>
  </si>
  <si>
    <t>대한주식회사 인사고과</t>
    <phoneticPr fontId="1" type="noConversion"/>
  </si>
  <si>
    <t>근무와 판매실적</t>
  </si>
  <si>
    <t>근무기간</t>
  </si>
  <si>
    <t>상반기</t>
  </si>
  <si>
    <t>하반기</t>
  </si>
  <si>
    <t>실적평균</t>
  </si>
  <si>
    <t>평가</t>
  </si>
  <si>
    <t>최시아</t>
  </si>
  <si>
    <t>영업1부</t>
  </si>
  <si>
    <t>A</t>
  </si>
  <si>
    <t>이준형</t>
  </si>
  <si>
    <t>F</t>
  </si>
  <si>
    <t>김가연</t>
  </si>
  <si>
    <t>B</t>
  </si>
  <si>
    <t>홍철순</t>
  </si>
  <si>
    <t>영업2부</t>
  </si>
  <si>
    <t>D</t>
  </si>
  <si>
    <t>이정철</t>
  </si>
  <si>
    <t>C</t>
  </si>
  <si>
    <t>박아람</t>
  </si>
  <si>
    <t>류민순</t>
  </si>
  <si>
    <t>영업3부</t>
  </si>
  <si>
    <t>차범국</t>
  </si>
  <si>
    <t>김선길</t>
  </si>
  <si>
    <t>개인 성적 현황</t>
    <phoneticPr fontId="1" type="noConversion"/>
  </si>
  <si>
    <t>접수번호</t>
    <phoneticPr fontId="1" type="noConversion"/>
  </si>
  <si>
    <t>이름</t>
    <phoneticPr fontId="1" type="noConversion"/>
  </si>
  <si>
    <t>면접</t>
    <phoneticPr fontId="1" type="noConversion"/>
  </si>
  <si>
    <t>1학년</t>
    <phoneticPr fontId="1" type="noConversion"/>
  </si>
  <si>
    <t>내신등급</t>
    <phoneticPr fontId="1" type="noConversion"/>
  </si>
  <si>
    <t>2학년</t>
  </si>
  <si>
    <t>3학년</t>
  </si>
  <si>
    <t>태도</t>
    <phoneticPr fontId="1" type="noConversion"/>
  </si>
  <si>
    <t>적성</t>
    <phoneticPr fontId="1" type="noConversion"/>
  </si>
  <si>
    <t>이자경</t>
  </si>
  <si>
    <t>권기옥</t>
  </si>
  <si>
    <t>하판선</t>
  </si>
  <si>
    <t>김석민</t>
  </si>
  <si>
    <t>김민기</t>
  </si>
  <si>
    <t>추남철</t>
  </si>
  <si>
    <t>이민영</t>
  </si>
  <si>
    <t>서기준</t>
  </si>
  <si>
    <t>4분기 주식 거래현황</t>
    <phoneticPr fontId="1" type="noConversion"/>
  </si>
  <si>
    <t>종목명</t>
  </si>
  <si>
    <t>매수가</t>
  </si>
  <si>
    <t>보유량</t>
  </si>
  <si>
    <t>매수금액</t>
  </si>
  <si>
    <t>매수단가</t>
  </si>
  <si>
    <t>현재가</t>
  </si>
  <si>
    <t>현재금액</t>
  </si>
  <si>
    <t>평가손익</t>
  </si>
  <si>
    <t>수익률</t>
  </si>
  <si>
    <t>대한제약</t>
  </si>
  <si>
    <t>상공증권</t>
  </si>
  <si>
    <t>대연주조</t>
  </si>
  <si>
    <t>KR타이어</t>
  </si>
  <si>
    <t>대신전자</t>
  </si>
  <si>
    <t>진텔레콤</t>
  </si>
  <si>
    <t>가남경제</t>
  </si>
  <si>
    <t>대운건설</t>
  </si>
  <si>
    <t>우주넷</t>
  </si>
  <si>
    <t>블랙쇼핑</t>
  </si>
  <si>
    <t>매수
수수료</t>
    <phoneticPr fontId="1" type="noConversion"/>
  </si>
  <si>
    <t>주식 종목</t>
    <phoneticPr fontId="1" type="noConversion"/>
  </si>
  <si>
    <t>한국상사의 상품매입현황</t>
    <phoneticPr fontId="1" type="noConversion"/>
  </si>
  <si>
    <t>날짜</t>
  </si>
  <si>
    <t>상품명</t>
  </si>
  <si>
    <t>매입단가</t>
  </si>
  <si>
    <t>매입수량</t>
  </si>
  <si>
    <t>매입금액</t>
  </si>
  <si>
    <t>매입처</t>
  </si>
  <si>
    <t>동아상사</t>
  </si>
  <si>
    <t>새한상사</t>
  </si>
  <si>
    <t>장부</t>
  </si>
  <si>
    <t>롯데상사</t>
  </si>
  <si>
    <t>파일</t>
  </si>
  <si>
    <t>효성상사</t>
  </si>
  <si>
    <t>대우상사</t>
  </si>
  <si>
    <t>샤프</t>
  </si>
  <si>
    <t>삼성상사</t>
  </si>
  <si>
    <t>USB</t>
    <phoneticPr fontId="1" type="noConversion"/>
  </si>
  <si>
    <t>부서별 근무년수 현황</t>
    <phoneticPr fontId="1" type="noConversion"/>
  </si>
  <si>
    <t>부서</t>
  </si>
  <si>
    <t>생산부</t>
  </si>
  <si>
    <t>박도근</t>
  </si>
  <si>
    <t>이사</t>
  </si>
  <si>
    <t>최명도</t>
  </si>
  <si>
    <t>부장</t>
  </si>
  <si>
    <t>하정진</t>
  </si>
  <si>
    <t>김현국</t>
  </si>
  <si>
    <t>이경우</t>
  </si>
  <si>
    <t>강창우</t>
  </si>
  <si>
    <t>최현아</t>
  </si>
  <si>
    <t>박정식</t>
  </si>
  <si>
    <t>입사일자</t>
    <phoneticPr fontId="1" type="noConversion"/>
  </si>
  <si>
    <t>근무년수</t>
    <phoneticPr fontId="1" type="noConversion"/>
  </si>
  <si>
    <t>일일 가공 현황</t>
    <phoneticPr fontId="1" type="noConversion"/>
  </si>
  <si>
    <t>불량율</t>
  </si>
  <si>
    <t>불량율</t>
    <phoneticPr fontId="1" type="noConversion"/>
  </si>
  <si>
    <t>목표수익률</t>
    <phoneticPr fontId="1" type="noConversion"/>
  </si>
  <si>
    <t>가공일</t>
  </si>
  <si>
    <t>가공팀</t>
  </si>
  <si>
    <t>가공품명</t>
  </si>
  <si>
    <t>단위당원가</t>
  </si>
  <si>
    <t>가공수량</t>
  </si>
  <si>
    <t>가공원가</t>
  </si>
  <si>
    <t>목표매출액</t>
  </si>
  <si>
    <t>제조1팀</t>
  </si>
  <si>
    <t>오렌지가공</t>
  </si>
  <si>
    <t>제조2팀</t>
  </si>
  <si>
    <t>포도가공</t>
  </si>
  <si>
    <t>제조3팀</t>
  </si>
  <si>
    <t>사과가공</t>
  </si>
  <si>
    <t>평균</t>
  </si>
  <si>
    <t>평균</t>
    <phoneticPr fontId="1" type="noConversion"/>
  </si>
  <si>
    <t>중간고사 결과</t>
    <phoneticPr fontId="1" type="noConversion"/>
  </si>
  <si>
    <t>학생명</t>
  </si>
  <si>
    <t>국어</t>
  </si>
  <si>
    <t>영어</t>
  </si>
  <si>
    <t>수학</t>
  </si>
  <si>
    <t>김민재</t>
  </si>
  <si>
    <t>이다희</t>
  </si>
  <si>
    <t>홍진영</t>
  </si>
  <si>
    <t>최현준</t>
  </si>
  <si>
    <t>남보라</t>
  </si>
  <si>
    <t>김준용</t>
  </si>
  <si>
    <t>문경준</t>
  </si>
  <si>
    <t>신유아</t>
  </si>
  <si>
    <t>이석현</t>
  </si>
  <si>
    <t>경기 대리점 판매현황</t>
    <phoneticPr fontId="1" type="noConversion"/>
  </si>
  <si>
    <t>[단위 : 천원]</t>
    <phoneticPr fontId="1" type="noConversion"/>
  </si>
  <si>
    <t>품목번호</t>
  </si>
  <si>
    <t>품목</t>
  </si>
  <si>
    <t>목표량</t>
  </si>
  <si>
    <t>판매량</t>
  </si>
  <si>
    <t>판매액</t>
  </si>
  <si>
    <t>프린터</t>
  </si>
  <si>
    <t>스캐너</t>
  </si>
  <si>
    <t>직위</t>
    <phoneticPr fontId="1" type="noConversion"/>
  </si>
  <si>
    <t>샤프</t>
    <phoneticPr fontId="1" type="noConversion"/>
  </si>
  <si>
    <t>용지(A4)</t>
    <phoneticPr fontId="1" type="noConversion"/>
  </si>
  <si>
    <t>용지(A3)</t>
    <phoneticPr fontId="1" type="noConversion"/>
  </si>
  <si>
    <t>마우스</t>
    <phoneticPr fontId="1" type="noConversion"/>
  </si>
  <si>
    <t>키보드</t>
    <phoneticPr fontId="1" type="noConversion"/>
  </si>
  <si>
    <t>SSD</t>
    <phoneticPr fontId="1" type="noConversion"/>
  </si>
  <si>
    <t>모니터</t>
    <phoneticPr fontId="1" type="noConversion"/>
  </si>
  <si>
    <t>스피커</t>
    <phoneticPr fontId="1" type="noConversion"/>
  </si>
  <si>
    <t>CPU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</si>
</sst>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&quot;월&quot;\ d&quot;일&quot;;@"/>
    <numFmt numFmtId="178" formatCode="mm\/dd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전자제품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차트작업!$C$4:$C$11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11</c:v>
                </c:pt>
                <c:pt idx="3">
                  <c:v>14</c:v>
                </c:pt>
                <c:pt idx="4">
                  <c:v>7</c:v>
                </c:pt>
                <c:pt idx="5">
                  <c:v>17</c:v>
                </c:pt>
                <c:pt idx="6">
                  <c:v>12</c:v>
                </c:pt>
                <c:pt idx="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3-4671-A5EE-3DE5EE0CFC7F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차트작업!$D$4:$D$11</c:f>
              <c:numCache>
                <c:formatCode>General</c:formatCode>
                <c:ptCount val="8"/>
                <c:pt idx="0">
                  <c:v>7</c:v>
                </c:pt>
                <c:pt idx="1">
                  <c:v>2</c:v>
                </c:pt>
                <c:pt idx="2">
                  <c:v>15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10</c:v>
                </c:pt>
                <c:pt idx="7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3-4671-A5EE-3DE5EE0CFC7F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판매액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차트작업!$E$4:$E$11</c:f>
              <c:numCache>
                <c:formatCode>#,##0_ </c:formatCode>
                <c:ptCount val="8"/>
                <c:pt idx="0">
                  <c:v>1680</c:v>
                </c:pt>
                <c:pt idx="1">
                  <c:v>300</c:v>
                </c:pt>
                <c:pt idx="2">
                  <c:v>5400</c:v>
                </c:pt>
                <c:pt idx="3">
                  <c:v>5880</c:v>
                </c:pt>
                <c:pt idx="4">
                  <c:v>6000</c:v>
                </c:pt>
                <c:pt idx="5">
                  <c:v>12650</c:v>
                </c:pt>
                <c:pt idx="6">
                  <c:v>7800</c:v>
                </c:pt>
                <c:pt idx="7">
                  <c:v>10050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3-4671-A5EE-3DE5EE0CF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7848127"/>
        <c:axId val="317848607"/>
      </c:barChart>
      <c:catAx>
        <c:axId val="3178481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7848607"/>
        <c:crosses val="autoZero"/>
        <c:auto val="1"/>
        <c:lblAlgn val="ctr"/>
        <c:lblOffset val="100"/>
        <c:noMultiLvlLbl val="0"/>
      </c:catAx>
      <c:valAx>
        <c:axId val="3178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784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C49C580-FC68-D9BE-C110-F0902B182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cols>
    <col min="1" max="1" width="10.4140625" bestFit="1" customWidth="1"/>
    <col min="4" max="4" width="10.75" bestFit="1" customWidth="1"/>
  </cols>
  <sheetData>
    <row r="1" spans="1:6" x14ac:dyDescent="0.45">
      <c r="A1" t="s">
        <v>6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2"/>
      <c r="E4" s="1"/>
      <c r="F4" s="1"/>
    </row>
    <row r="5" spans="1:6" x14ac:dyDescent="0.45">
      <c r="A5" s="1"/>
      <c r="B5" s="1"/>
      <c r="C5" s="1"/>
      <c r="D5" s="2"/>
      <c r="E5" s="1"/>
      <c r="F5" s="1"/>
    </row>
    <row r="6" spans="1:6" x14ac:dyDescent="0.45">
      <c r="A6" s="1"/>
      <c r="B6" s="1"/>
      <c r="C6" s="1"/>
      <c r="D6" s="2"/>
      <c r="E6" s="1"/>
      <c r="F6" s="1"/>
    </row>
    <row r="7" spans="1:6" x14ac:dyDescent="0.45">
      <c r="A7" s="1"/>
      <c r="B7" s="1"/>
      <c r="C7" s="1"/>
      <c r="D7" s="2"/>
      <c r="E7" s="1"/>
      <c r="F7" s="1"/>
    </row>
    <row r="8" spans="1:6" x14ac:dyDescent="0.45">
      <c r="A8" s="1"/>
      <c r="B8" s="1"/>
      <c r="C8" s="1"/>
      <c r="D8" s="2"/>
      <c r="E8" s="1"/>
      <c r="F8" s="1"/>
    </row>
    <row r="9" spans="1:6" x14ac:dyDescent="0.45">
      <c r="A9" s="1"/>
      <c r="B9" s="1"/>
      <c r="C9" s="1"/>
      <c r="D9" s="2"/>
      <c r="E9" s="1"/>
      <c r="F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3"/>
  <sheetViews>
    <sheetView workbookViewId="0"/>
  </sheetViews>
  <sheetFormatPr defaultRowHeight="17" x14ac:dyDescent="0.45"/>
  <sheetData>
    <row r="1" spans="1:7" x14ac:dyDescent="0.45">
      <c r="C1" t="s">
        <v>89</v>
      </c>
    </row>
    <row r="3" spans="1:7" x14ac:dyDescent="0.45">
      <c r="A3" t="s">
        <v>1</v>
      </c>
      <c r="B3" t="s">
        <v>37</v>
      </c>
      <c r="C3" t="s">
        <v>90</v>
      </c>
    </row>
    <row r="4" spans="1:7" x14ac:dyDescent="0.45">
      <c r="C4" s="9" t="s">
        <v>91</v>
      </c>
      <c r="D4" s="9" t="s">
        <v>92</v>
      </c>
      <c r="E4" s="9" t="s">
        <v>93</v>
      </c>
      <c r="F4" s="9" t="s">
        <v>94</v>
      </c>
      <c r="G4" s="9" t="s">
        <v>95</v>
      </c>
    </row>
    <row r="5" spans="1:7" x14ac:dyDescent="0.45">
      <c r="A5" s="1" t="s">
        <v>96</v>
      </c>
      <c r="B5" s="1" t="s">
        <v>97</v>
      </c>
      <c r="C5" s="1">
        <v>18</v>
      </c>
      <c r="D5" s="1">
        <v>96</v>
      </c>
      <c r="E5" s="1">
        <v>85</v>
      </c>
      <c r="F5" s="1">
        <v>90.5</v>
      </c>
      <c r="G5" s="1" t="s">
        <v>98</v>
      </c>
    </row>
    <row r="6" spans="1:7" x14ac:dyDescent="0.45">
      <c r="A6" s="1" t="s">
        <v>99</v>
      </c>
      <c r="B6" s="1" t="s">
        <v>97</v>
      </c>
      <c r="C6" s="1">
        <v>5</v>
      </c>
      <c r="D6" s="1">
        <v>64</v>
      </c>
      <c r="E6" s="1">
        <v>8</v>
      </c>
      <c r="F6" s="1">
        <v>36</v>
      </c>
      <c r="G6" s="1" t="s">
        <v>100</v>
      </c>
    </row>
    <row r="7" spans="1:7" x14ac:dyDescent="0.45">
      <c r="A7" s="1" t="s">
        <v>101</v>
      </c>
      <c r="B7" s="1" t="s">
        <v>97</v>
      </c>
      <c r="C7" s="1">
        <v>12</v>
      </c>
      <c r="D7" s="1">
        <v>85</v>
      </c>
      <c r="E7" s="1">
        <v>100</v>
      </c>
      <c r="F7" s="1">
        <v>92.5</v>
      </c>
      <c r="G7" s="1" t="s">
        <v>102</v>
      </c>
    </row>
    <row r="8" spans="1:7" x14ac:dyDescent="0.45">
      <c r="A8" s="1" t="s">
        <v>103</v>
      </c>
      <c r="B8" s="1" t="s">
        <v>104</v>
      </c>
      <c r="C8" s="1">
        <v>7</v>
      </c>
      <c r="D8" s="1">
        <v>66</v>
      </c>
      <c r="E8" s="1">
        <v>87</v>
      </c>
      <c r="F8" s="1">
        <v>76.5</v>
      </c>
      <c r="G8" s="1" t="s">
        <v>105</v>
      </c>
    </row>
    <row r="9" spans="1:7" x14ac:dyDescent="0.45">
      <c r="A9" s="1" t="s">
        <v>106</v>
      </c>
      <c r="B9" s="1" t="s">
        <v>104</v>
      </c>
      <c r="C9" s="1">
        <v>9</v>
      </c>
      <c r="D9" s="1">
        <v>70</v>
      </c>
      <c r="E9" s="1">
        <v>60</v>
      </c>
      <c r="F9" s="1">
        <v>65</v>
      </c>
      <c r="G9" s="1" t="s">
        <v>107</v>
      </c>
    </row>
    <row r="10" spans="1:7" x14ac:dyDescent="0.45">
      <c r="A10" s="1" t="s">
        <v>108</v>
      </c>
      <c r="B10" s="1" t="s">
        <v>104</v>
      </c>
      <c r="C10" s="1">
        <v>8</v>
      </c>
      <c r="D10" s="1">
        <v>90</v>
      </c>
      <c r="E10" s="1">
        <v>78</v>
      </c>
      <c r="F10" s="1">
        <v>84</v>
      </c>
      <c r="G10" s="1" t="s">
        <v>107</v>
      </c>
    </row>
    <row r="11" spans="1:7" x14ac:dyDescent="0.45">
      <c r="A11" s="1" t="s">
        <v>109</v>
      </c>
      <c r="B11" s="1" t="s">
        <v>110</v>
      </c>
      <c r="C11" s="1">
        <v>20</v>
      </c>
      <c r="D11" s="1">
        <v>100</v>
      </c>
      <c r="E11" s="1">
        <v>86</v>
      </c>
      <c r="F11" s="1">
        <v>93</v>
      </c>
      <c r="G11" s="1" t="s">
        <v>98</v>
      </c>
    </row>
    <row r="12" spans="1:7" x14ac:dyDescent="0.45">
      <c r="A12" s="1" t="s">
        <v>111</v>
      </c>
      <c r="B12" s="1" t="s">
        <v>110</v>
      </c>
      <c r="C12" s="1">
        <v>13</v>
      </c>
      <c r="D12" s="1">
        <v>100</v>
      </c>
      <c r="E12" s="1">
        <v>85</v>
      </c>
      <c r="F12" s="1">
        <v>92.5</v>
      </c>
      <c r="G12" s="1" t="s">
        <v>102</v>
      </c>
    </row>
    <row r="13" spans="1:7" x14ac:dyDescent="0.45">
      <c r="A13" s="1" t="s">
        <v>112</v>
      </c>
      <c r="B13" s="1" t="s">
        <v>110</v>
      </c>
      <c r="C13" s="1">
        <v>16</v>
      </c>
      <c r="D13" s="1">
        <v>95</v>
      </c>
      <c r="E13" s="1">
        <v>91</v>
      </c>
      <c r="F13" s="1">
        <v>93</v>
      </c>
      <c r="G13" s="1" t="s">
        <v>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21" t="s">
        <v>113</v>
      </c>
      <c r="B1" s="21"/>
      <c r="C1" s="21"/>
      <c r="D1" s="21"/>
      <c r="E1" s="21"/>
      <c r="F1" s="21"/>
      <c r="G1" s="21"/>
    </row>
    <row r="3" spans="1:7" x14ac:dyDescent="0.45">
      <c r="A3" s="22" t="s">
        <v>114</v>
      </c>
      <c r="B3" s="22" t="s">
        <v>115</v>
      </c>
      <c r="C3" s="22" t="s">
        <v>118</v>
      </c>
      <c r="D3" s="22"/>
      <c r="E3" s="22"/>
      <c r="F3" s="22" t="s">
        <v>116</v>
      </c>
      <c r="G3" s="22"/>
    </row>
    <row r="4" spans="1:7" x14ac:dyDescent="0.45">
      <c r="A4" s="22"/>
      <c r="B4" s="22"/>
      <c r="C4" s="5" t="s">
        <v>117</v>
      </c>
      <c r="D4" s="5" t="s">
        <v>119</v>
      </c>
      <c r="E4" s="5" t="s">
        <v>120</v>
      </c>
      <c r="F4" s="5" t="s">
        <v>121</v>
      </c>
      <c r="G4" s="5" t="s">
        <v>122</v>
      </c>
    </row>
    <row r="5" spans="1:7" x14ac:dyDescent="0.45">
      <c r="A5" s="5">
        <v>1</v>
      </c>
      <c r="B5" s="5" t="s">
        <v>123</v>
      </c>
      <c r="C5" s="5">
        <v>90</v>
      </c>
      <c r="D5" s="5">
        <v>80</v>
      </c>
      <c r="E5" s="5">
        <v>90</v>
      </c>
      <c r="F5" s="5">
        <v>80</v>
      </c>
      <c r="G5" s="5">
        <v>89</v>
      </c>
    </row>
    <row r="6" spans="1:7" x14ac:dyDescent="0.45">
      <c r="A6" s="5">
        <v>2</v>
      </c>
      <c r="B6" s="5" t="s">
        <v>124</v>
      </c>
      <c r="C6" s="5">
        <v>70</v>
      </c>
      <c r="D6" s="5">
        <v>80</v>
      </c>
      <c r="E6" s="5">
        <v>80</v>
      </c>
      <c r="F6" s="5">
        <v>96</v>
      </c>
      <c r="G6" s="5">
        <v>80</v>
      </c>
    </row>
    <row r="7" spans="1:7" x14ac:dyDescent="0.45">
      <c r="A7" s="5">
        <v>3</v>
      </c>
      <c r="B7" s="5" t="s">
        <v>125</v>
      </c>
      <c r="C7" s="5">
        <v>60</v>
      </c>
      <c r="D7" s="5">
        <v>70</v>
      </c>
      <c r="E7" s="5">
        <v>70</v>
      </c>
      <c r="F7" s="5">
        <v>94</v>
      </c>
      <c r="G7" s="5">
        <v>90</v>
      </c>
    </row>
    <row r="8" spans="1:7" x14ac:dyDescent="0.45">
      <c r="A8" s="5">
        <v>4</v>
      </c>
      <c r="B8" s="5" t="s">
        <v>126</v>
      </c>
      <c r="C8" s="5">
        <v>60</v>
      </c>
      <c r="D8" s="5">
        <v>50</v>
      </c>
      <c r="E8" s="5">
        <v>80</v>
      </c>
      <c r="F8" s="5">
        <v>80</v>
      </c>
      <c r="G8" s="5">
        <v>97</v>
      </c>
    </row>
    <row r="9" spans="1:7" x14ac:dyDescent="0.45">
      <c r="A9" s="5">
        <v>5</v>
      </c>
      <c r="B9" s="5" t="s">
        <v>127</v>
      </c>
      <c r="C9" s="5">
        <v>50</v>
      </c>
      <c r="D9" s="5">
        <v>70</v>
      </c>
      <c r="E9" s="5">
        <v>90</v>
      </c>
      <c r="F9" s="5">
        <v>80</v>
      </c>
      <c r="G9" s="5">
        <v>99</v>
      </c>
    </row>
    <row r="10" spans="1:7" x14ac:dyDescent="0.45">
      <c r="A10" s="5">
        <v>6</v>
      </c>
      <c r="B10" s="5" t="s">
        <v>128</v>
      </c>
      <c r="C10" s="5">
        <v>50</v>
      </c>
      <c r="D10" s="5">
        <v>50</v>
      </c>
      <c r="E10" s="5">
        <v>70</v>
      </c>
      <c r="F10" s="5">
        <v>91</v>
      </c>
      <c r="G10" s="5">
        <v>85</v>
      </c>
    </row>
    <row r="11" spans="1:7" x14ac:dyDescent="0.45">
      <c r="A11" s="5">
        <v>7</v>
      </c>
      <c r="B11" s="5" t="s">
        <v>129</v>
      </c>
      <c r="C11" s="5">
        <v>60</v>
      </c>
      <c r="D11" s="5">
        <v>60</v>
      </c>
      <c r="E11" s="5">
        <v>70</v>
      </c>
      <c r="F11" s="5">
        <v>93</v>
      </c>
      <c r="G11" s="5">
        <v>90</v>
      </c>
    </row>
    <row r="12" spans="1:7" x14ac:dyDescent="0.45">
      <c r="A12" s="5">
        <v>8</v>
      </c>
      <c r="B12" s="5" t="s">
        <v>130</v>
      </c>
      <c r="C12" s="5">
        <v>80</v>
      </c>
      <c r="D12" s="5">
        <v>80</v>
      </c>
      <c r="E12" s="5">
        <v>80</v>
      </c>
      <c r="F12" s="5">
        <v>93</v>
      </c>
      <c r="G12" s="5">
        <v>92</v>
      </c>
    </row>
  </sheetData>
  <mergeCells count="5">
    <mergeCell ref="A1:G1"/>
    <mergeCell ref="F3:G3"/>
    <mergeCell ref="C3:E3"/>
    <mergeCell ref="B3:B4"/>
    <mergeCell ref="A3:A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0511-3257-4ADB-8ABB-772A246345C0}">
  <dimension ref="A1:J20"/>
  <sheetViews>
    <sheetView workbookViewId="0">
      <selection sqref="A1:J1"/>
    </sheetView>
  </sheetViews>
  <sheetFormatPr defaultRowHeight="17" x14ac:dyDescent="0.45"/>
  <cols>
    <col min="1" max="1" width="8.83203125" bestFit="1" customWidth="1"/>
    <col min="2" max="3" width="8.6640625" customWidth="1"/>
    <col min="4" max="4" width="9.6640625" bestFit="1" customWidth="1"/>
    <col min="5" max="7" width="8.6640625" customWidth="1"/>
    <col min="8" max="9" width="9.6640625" bestFit="1" customWidth="1"/>
    <col min="10" max="10" width="8.6640625" customWidth="1"/>
  </cols>
  <sheetData>
    <row r="1" spans="1:10" ht="21" x14ac:dyDescent="0.45">
      <c r="A1" s="21" t="s">
        <v>131</v>
      </c>
      <c r="B1" s="21"/>
      <c r="C1" s="21"/>
      <c r="D1" s="21"/>
      <c r="E1" s="21"/>
      <c r="F1" s="21"/>
      <c r="G1" s="21"/>
      <c r="H1" s="21"/>
      <c r="I1" s="21"/>
      <c r="J1" s="21"/>
    </row>
    <row r="3" spans="1:10" ht="34" x14ac:dyDescent="0.45">
      <c r="A3" s="5" t="s">
        <v>132</v>
      </c>
      <c r="B3" s="5" t="s">
        <v>133</v>
      </c>
      <c r="C3" s="5" t="s">
        <v>134</v>
      </c>
      <c r="D3" s="5" t="s">
        <v>135</v>
      </c>
      <c r="E3" s="11" t="s">
        <v>151</v>
      </c>
      <c r="F3" s="5" t="s">
        <v>136</v>
      </c>
      <c r="G3" s="5" t="s">
        <v>137</v>
      </c>
      <c r="H3" s="5" t="s">
        <v>138</v>
      </c>
      <c r="I3" s="5" t="s">
        <v>139</v>
      </c>
      <c r="J3" s="5" t="s">
        <v>140</v>
      </c>
    </row>
    <row r="4" spans="1:10" x14ac:dyDescent="0.45">
      <c r="A4" s="5" t="s">
        <v>141</v>
      </c>
      <c r="B4" s="13">
        <v>18500</v>
      </c>
      <c r="C4" s="13">
        <v>30</v>
      </c>
      <c r="D4" s="13">
        <f>B4*C4</f>
        <v>555000</v>
      </c>
      <c r="E4" s="13">
        <f>D4*0.25%</f>
        <v>1387.5</v>
      </c>
      <c r="F4" s="13">
        <f>B4+E4</f>
        <v>19887.5</v>
      </c>
      <c r="G4" s="13">
        <v>25000</v>
      </c>
      <c r="H4" s="13">
        <f>C4*G4</f>
        <v>750000</v>
      </c>
      <c r="I4" s="13">
        <f>H4-D4</f>
        <v>195000</v>
      </c>
      <c r="J4" s="12">
        <f>H4/(D4+E4)-1</f>
        <v>0.34798139785670967</v>
      </c>
    </row>
    <row r="5" spans="1:10" x14ac:dyDescent="0.45">
      <c r="A5" s="5" t="s">
        <v>142</v>
      </c>
      <c r="B5" s="13">
        <v>8700</v>
      </c>
      <c r="C5" s="13">
        <v>295</v>
      </c>
      <c r="D5" s="13">
        <f t="shared" ref="D5:D13" si="0">B5*C5</f>
        <v>2566500</v>
      </c>
      <c r="E5" s="13">
        <f t="shared" ref="E5:E13" si="1">D5*0.25%</f>
        <v>6416.25</v>
      </c>
      <c r="F5" s="13">
        <f t="shared" ref="F5:F13" si="2">B5+E5</f>
        <v>15116.25</v>
      </c>
      <c r="G5" s="13">
        <v>7650</v>
      </c>
      <c r="H5" s="13">
        <f t="shared" ref="H5:H13" si="3">C5*G5</f>
        <v>2256750</v>
      </c>
      <c r="I5" s="13">
        <f t="shared" ref="I5:I13" si="4">H5-D5</f>
        <v>-309750</v>
      </c>
      <c r="J5" s="12">
        <f t="shared" ref="J5:J13" si="5">H5/(D5+E5)-1</f>
        <v>-0.12288244904978929</v>
      </c>
    </row>
    <row r="6" spans="1:10" x14ac:dyDescent="0.45">
      <c r="A6" s="5" t="s">
        <v>143</v>
      </c>
      <c r="B6" s="13">
        <v>9900</v>
      </c>
      <c r="C6" s="13">
        <v>10</v>
      </c>
      <c r="D6" s="13">
        <f t="shared" si="0"/>
        <v>99000</v>
      </c>
      <c r="E6" s="13">
        <f t="shared" si="1"/>
        <v>247.5</v>
      </c>
      <c r="F6" s="13">
        <f t="shared" si="2"/>
        <v>10147.5</v>
      </c>
      <c r="G6" s="13">
        <v>7700</v>
      </c>
      <c r="H6" s="13">
        <f t="shared" si="3"/>
        <v>77000</v>
      </c>
      <c r="I6" s="13">
        <f t="shared" si="4"/>
        <v>-22000</v>
      </c>
      <c r="J6" s="12">
        <f t="shared" si="5"/>
        <v>-0.22416181767802712</v>
      </c>
    </row>
    <row r="7" spans="1:10" x14ac:dyDescent="0.45">
      <c r="A7" s="5" t="s">
        <v>144</v>
      </c>
      <c r="B7" s="13">
        <v>23000</v>
      </c>
      <c r="C7" s="13">
        <v>273</v>
      </c>
      <c r="D7" s="13">
        <f t="shared" si="0"/>
        <v>6279000</v>
      </c>
      <c r="E7" s="13">
        <f t="shared" si="1"/>
        <v>15697.5</v>
      </c>
      <c r="F7" s="13">
        <f t="shared" si="2"/>
        <v>38697.5</v>
      </c>
      <c r="G7" s="13">
        <v>25000</v>
      </c>
      <c r="H7" s="13">
        <f t="shared" si="3"/>
        <v>6825000</v>
      </c>
      <c r="I7" s="13">
        <f t="shared" si="4"/>
        <v>546000</v>
      </c>
      <c r="J7" s="12">
        <f t="shared" si="5"/>
        <v>8.4245906971701201E-2</v>
      </c>
    </row>
    <row r="8" spans="1:10" x14ac:dyDescent="0.45">
      <c r="A8" s="5" t="s">
        <v>145</v>
      </c>
      <c r="B8" s="13">
        <v>25000</v>
      </c>
      <c r="C8" s="13">
        <v>30</v>
      </c>
      <c r="D8" s="13">
        <f t="shared" si="0"/>
        <v>750000</v>
      </c>
      <c r="E8" s="13">
        <f t="shared" si="1"/>
        <v>1875</v>
      </c>
      <c r="F8" s="13">
        <f t="shared" si="2"/>
        <v>26875</v>
      </c>
      <c r="G8" s="13">
        <v>89000</v>
      </c>
      <c r="H8" s="13">
        <f t="shared" si="3"/>
        <v>2670000</v>
      </c>
      <c r="I8" s="13">
        <f t="shared" si="4"/>
        <v>1920000</v>
      </c>
      <c r="J8" s="12">
        <f t="shared" si="5"/>
        <v>2.5511221945137157</v>
      </c>
    </row>
    <row r="9" spans="1:10" x14ac:dyDescent="0.45">
      <c r="A9" s="5" t="s">
        <v>146</v>
      </c>
      <c r="B9" s="13">
        <v>6600</v>
      </c>
      <c r="C9" s="13">
        <v>120</v>
      </c>
      <c r="D9" s="13">
        <f t="shared" si="0"/>
        <v>792000</v>
      </c>
      <c r="E9" s="13">
        <f t="shared" si="1"/>
        <v>1980</v>
      </c>
      <c r="F9" s="13">
        <f t="shared" si="2"/>
        <v>8580</v>
      </c>
      <c r="G9" s="13">
        <v>12000</v>
      </c>
      <c r="H9" s="13">
        <f t="shared" si="3"/>
        <v>1440000</v>
      </c>
      <c r="I9" s="13">
        <f t="shared" si="4"/>
        <v>648000</v>
      </c>
      <c r="J9" s="12">
        <f t="shared" si="5"/>
        <v>0.81364769893448208</v>
      </c>
    </row>
    <row r="10" spans="1:10" x14ac:dyDescent="0.45">
      <c r="A10" s="5" t="s">
        <v>147</v>
      </c>
      <c r="B10" s="13">
        <v>11000</v>
      </c>
      <c r="C10" s="13">
        <v>50</v>
      </c>
      <c r="D10" s="13">
        <f t="shared" si="0"/>
        <v>550000</v>
      </c>
      <c r="E10" s="13">
        <f t="shared" si="1"/>
        <v>1375</v>
      </c>
      <c r="F10" s="13">
        <f t="shared" si="2"/>
        <v>12375</v>
      </c>
      <c r="G10" s="13">
        <v>13500</v>
      </c>
      <c r="H10" s="13">
        <f t="shared" si="3"/>
        <v>675000</v>
      </c>
      <c r="I10" s="13">
        <f t="shared" si="4"/>
        <v>125000</v>
      </c>
      <c r="J10" s="12">
        <f t="shared" si="5"/>
        <v>0.22421219678077531</v>
      </c>
    </row>
    <row r="11" spans="1:10" x14ac:dyDescent="0.45">
      <c r="A11" s="5" t="s">
        <v>148</v>
      </c>
      <c r="B11" s="13">
        <v>20000</v>
      </c>
      <c r="C11" s="13">
        <v>200</v>
      </c>
      <c r="D11" s="13">
        <f t="shared" si="0"/>
        <v>4000000</v>
      </c>
      <c r="E11" s="13">
        <f t="shared" si="1"/>
        <v>10000</v>
      </c>
      <c r="F11" s="13">
        <f t="shared" si="2"/>
        <v>30000</v>
      </c>
      <c r="G11" s="13">
        <v>23500</v>
      </c>
      <c r="H11" s="13">
        <f t="shared" si="3"/>
        <v>4700000</v>
      </c>
      <c r="I11" s="13">
        <f t="shared" si="4"/>
        <v>700000</v>
      </c>
      <c r="J11" s="12">
        <f t="shared" si="5"/>
        <v>0.17206982543640903</v>
      </c>
    </row>
    <row r="12" spans="1:10" x14ac:dyDescent="0.45">
      <c r="A12" s="5" t="s">
        <v>149</v>
      </c>
      <c r="B12" s="13">
        <v>25500</v>
      </c>
      <c r="C12" s="13">
        <v>50</v>
      </c>
      <c r="D12" s="13">
        <f t="shared" si="0"/>
        <v>1275000</v>
      </c>
      <c r="E12" s="13">
        <f t="shared" si="1"/>
        <v>3187.5</v>
      </c>
      <c r="F12" s="13">
        <f t="shared" si="2"/>
        <v>28687.5</v>
      </c>
      <c r="G12" s="13">
        <v>27000</v>
      </c>
      <c r="H12" s="13">
        <f t="shared" si="3"/>
        <v>1350000</v>
      </c>
      <c r="I12" s="13">
        <f t="shared" si="4"/>
        <v>75000</v>
      </c>
      <c r="J12" s="12">
        <f t="shared" si="5"/>
        <v>5.6183071732433643E-2</v>
      </c>
    </row>
    <row r="13" spans="1:10" x14ac:dyDescent="0.45">
      <c r="A13" s="5" t="s">
        <v>150</v>
      </c>
      <c r="B13" s="13">
        <v>7200</v>
      </c>
      <c r="C13" s="13">
        <v>20</v>
      </c>
      <c r="D13" s="13">
        <f t="shared" si="0"/>
        <v>144000</v>
      </c>
      <c r="E13" s="13">
        <f t="shared" si="1"/>
        <v>360</v>
      </c>
      <c r="F13" s="13">
        <f t="shared" si="2"/>
        <v>7560</v>
      </c>
      <c r="G13" s="13">
        <v>6300</v>
      </c>
      <c r="H13" s="13">
        <f t="shared" si="3"/>
        <v>126000</v>
      </c>
      <c r="I13" s="13">
        <f t="shared" si="4"/>
        <v>-18000</v>
      </c>
      <c r="J13" s="12">
        <f t="shared" si="5"/>
        <v>-0.12718204488778051</v>
      </c>
    </row>
    <row r="16" spans="1:10" x14ac:dyDescent="0.45">
      <c r="A16" s="1"/>
      <c r="B16" s="1"/>
      <c r="C16" s="1"/>
    </row>
    <row r="17" spans="1:10" x14ac:dyDescent="0.45">
      <c r="A17" s="1"/>
      <c r="B17" s="1"/>
      <c r="C17" s="1"/>
    </row>
    <row r="18" spans="1:10" x14ac:dyDescent="0.45">
      <c r="A18" s="1"/>
      <c r="B18" s="1"/>
      <c r="C18" s="1"/>
    </row>
    <row r="20" spans="1:10" x14ac:dyDescent="0.45">
      <c r="A20" s="23" t="s">
        <v>152</v>
      </c>
      <c r="B20" s="23"/>
      <c r="C20" s="23"/>
      <c r="D20" s="23"/>
      <c r="E20" s="23"/>
      <c r="F20" s="23"/>
      <c r="G20" s="23"/>
      <c r="H20" s="23"/>
      <c r="I20" s="23"/>
      <c r="J20" s="23"/>
    </row>
  </sheetData>
  <mergeCells count="2">
    <mergeCell ref="A1:J1"/>
    <mergeCell ref="A20:J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3"/>
  <sheetViews>
    <sheetView workbookViewId="0"/>
  </sheetViews>
  <sheetFormatPr defaultRowHeight="17" x14ac:dyDescent="0.45"/>
  <cols>
    <col min="4" max="4" width="10.58203125" bestFit="1" customWidth="1"/>
  </cols>
  <sheetData>
    <row r="1" spans="1:9" x14ac:dyDescent="0.45">
      <c r="A1" s="3" t="s">
        <v>7</v>
      </c>
      <c r="B1" s="4" t="s">
        <v>8</v>
      </c>
      <c r="F1" s="3" t="s">
        <v>21</v>
      </c>
      <c r="G1" s="4" t="s">
        <v>22</v>
      </c>
    </row>
    <row r="2" spans="1:9" x14ac:dyDescent="0.45">
      <c r="A2" s="5" t="s">
        <v>9</v>
      </c>
      <c r="B2" s="5" t="s">
        <v>10</v>
      </c>
      <c r="C2" s="5" t="s">
        <v>11</v>
      </c>
      <c r="D2" s="8" t="s">
        <v>12</v>
      </c>
      <c r="F2" s="5" t="s">
        <v>23</v>
      </c>
      <c r="G2" s="5" t="s">
        <v>24</v>
      </c>
      <c r="H2" s="5" t="s">
        <v>25</v>
      </c>
      <c r="I2" s="8" t="s">
        <v>26</v>
      </c>
    </row>
    <row r="3" spans="1:9" x14ac:dyDescent="0.45">
      <c r="A3" s="5" t="s">
        <v>13</v>
      </c>
      <c r="B3" s="6">
        <v>0.4604166666666667</v>
      </c>
      <c r="C3" s="6">
        <v>0.4826388888888889</v>
      </c>
      <c r="D3" s="7"/>
      <c r="F3" s="5" t="s">
        <v>27</v>
      </c>
      <c r="G3" s="5">
        <v>4</v>
      </c>
      <c r="H3" s="5">
        <v>90</v>
      </c>
      <c r="I3" s="5"/>
    </row>
    <row r="4" spans="1:9" x14ac:dyDescent="0.45">
      <c r="A4" s="5" t="s">
        <v>14</v>
      </c>
      <c r="B4" s="6">
        <v>0.46597222222222223</v>
      </c>
      <c r="C4" s="6">
        <v>0.4777777777777778</v>
      </c>
      <c r="D4" s="7"/>
      <c r="F4" s="5" t="s">
        <v>28</v>
      </c>
      <c r="G4" s="5">
        <v>7</v>
      </c>
      <c r="H4" s="5">
        <v>85</v>
      </c>
      <c r="I4" s="5"/>
    </row>
    <row r="5" spans="1:9" x14ac:dyDescent="0.45">
      <c r="A5" s="5" t="s">
        <v>15</v>
      </c>
      <c r="B5" s="6">
        <v>0.47569444444444442</v>
      </c>
      <c r="C5" s="6">
        <v>0.50138888888888888</v>
      </c>
      <c r="D5" s="7"/>
      <c r="F5" s="5" t="s">
        <v>29</v>
      </c>
      <c r="G5" s="5">
        <v>28</v>
      </c>
      <c r="H5" s="5">
        <v>99</v>
      </c>
      <c r="I5" s="5"/>
    </row>
    <row r="6" spans="1:9" x14ac:dyDescent="0.45">
      <c r="A6" s="5" t="s">
        <v>16</v>
      </c>
      <c r="B6" s="6">
        <v>0.48749999999999999</v>
      </c>
      <c r="C6" s="6">
        <v>0.49861111111111112</v>
      </c>
      <c r="D6" s="7"/>
      <c r="F6" s="5" t="s">
        <v>30</v>
      </c>
      <c r="G6" s="5">
        <v>2</v>
      </c>
      <c r="H6" s="5">
        <v>65</v>
      </c>
      <c r="I6" s="5"/>
    </row>
    <row r="7" spans="1:9" x14ac:dyDescent="0.45">
      <c r="A7" s="5" t="s">
        <v>17</v>
      </c>
      <c r="B7" s="6">
        <v>0.49791666666666662</v>
      </c>
      <c r="C7" s="6">
        <v>0.51597222222222217</v>
      </c>
      <c r="D7" s="7"/>
      <c r="F7" s="5" t="s">
        <v>31</v>
      </c>
      <c r="G7" s="5">
        <v>23</v>
      </c>
      <c r="H7" s="5">
        <v>78</v>
      </c>
      <c r="I7" s="5"/>
    </row>
    <row r="8" spans="1:9" x14ac:dyDescent="0.45">
      <c r="A8" s="5" t="s">
        <v>18</v>
      </c>
      <c r="B8" s="6">
        <v>0.50416666666666665</v>
      </c>
      <c r="C8" s="6">
        <v>0.52777777777777779</v>
      </c>
      <c r="D8" s="7"/>
      <c r="F8" s="5" t="s">
        <v>32</v>
      </c>
      <c r="G8" s="5">
        <v>16</v>
      </c>
      <c r="H8" s="5">
        <v>82</v>
      </c>
      <c r="I8" s="5"/>
    </row>
    <row r="9" spans="1:9" x14ac:dyDescent="0.45">
      <c r="A9" s="5" t="s">
        <v>19</v>
      </c>
      <c r="B9" s="6">
        <v>0.5083333333333333</v>
      </c>
      <c r="C9" s="6">
        <v>0.53333333333333333</v>
      </c>
      <c r="D9" s="7"/>
      <c r="F9" s="5" t="s">
        <v>33</v>
      </c>
      <c r="G9" s="5">
        <v>25</v>
      </c>
      <c r="H9" s="5">
        <v>95</v>
      </c>
      <c r="I9" s="5"/>
    </row>
    <row r="10" spans="1:9" x14ac:dyDescent="0.45">
      <c r="A10" s="5" t="s">
        <v>20</v>
      </c>
      <c r="B10" s="6">
        <v>0.5229166666666667</v>
      </c>
      <c r="C10" s="6">
        <v>0.5395833333333333</v>
      </c>
      <c r="D10" s="7"/>
      <c r="F10" s="5" t="s">
        <v>34</v>
      </c>
      <c r="G10" s="5">
        <v>12</v>
      </c>
      <c r="H10" s="5">
        <v>68</v>
      </c>
      <c r="I10" s="5"/>
    </row>
    <row r="12" spans="1:9" x14ac:dyDescent="0.45">
      <c r="A12" s="3" t="s">
        <v>35</v>
      </c>
      <c r="B12" s="4" t="s">
        <v>36</v>
      </c>
      <c r="F12" s="3" t="s">
        <v>49</v>
      </c>
      <c r="G12" s="4" t="s">
        <v>50</v>
      </c>
    </row>
    <row r="13" spans="1:9" x14ac:dyDescent="0.45">
      <c r="A13" s="5" t="s">
        <v>23</v>
      </c>
      <c r="B13" s="5" t="s">
        <v>37</v>
      </c>
      <c r="C13" s="5" t="s">
        <v>227</v>
      </c>
      <c r="D13" s="5" t="s">
        <v>36</v>
      </c>
      <c r="F13" s="5" t="s">
        <v>23</v>
      </c>
      <c r="G13" s="5" t="s">
        <v>51</v>
      </c>
      <c r="H13" s="8" t="s">
        <v>52</v>
      </c>
      <c r="I13" s="5" t="s">
        <v>53</v>
      </c>
    </row>
    <row r="14" spans="1:9" x14ac:dyDescent="0.45">
      <c r="A14" s="5" t="s">
        <v>38</v>
      </c>
      <c r="B14" s="5" t="s">
        <v>39</v>
      </c>
      <c r="C14" s="5" t="s">
        <v>2</v>
      </c>
      <c r="D14" s="7">
        <v>1500000</v>
      </c>
      <c r="F14" s="5" t="s">
        <v>54</v>
      </c>
      <c r="G14" s="5" t="s">
        <v>55</v>
      </c>
      <c r="H14" s="5"/>
      <c r="I14" s="5">
        <v>87</v>
      </c>
    </row>
    <row r="15" spans="1:9" x14ac:dyDescent="0.45">
      <c r="A15" s="5" t="s">
        <v>40</v>
      </c>
      <c r="B15" s="5" t="s">
        <v>39</v>
      </c>
      <c r="C15" s="5" t="s">
        <v>4</v>
      </c>
      <c r="D15" s="7">
        <v>2000000</v>
      </c>
      <c r="F15" s="5" t="s">
        <v>56</v>
      </c>
      <c r="G15" s="5" t="s">
        <v>57</v>
      </c>
      <c r="H15" s="5"/>
      <c r="I15" s="5">
        <v>64</v>
      </c>
    </row>
    <row r="16" spans="1:9" x14ac:dyDescent="0.45">
      <c r="A16" s="5" t="s">
        <v>41</v>
      </c>
      <c r="B16" s="5" t="s">
        <v>42</v>
      </c>
      <c r="C16" s="5" t="s">
        <v>2</v>
      </c>
      <c r="D16" s="7">
        <v>1700000</v>
      </c>
      <c r="F16" s="5" t="s">
        <v>58</v>
      </c>
      <c r="G16" s="5" t="s">
        <v>59</v>
      </c>
      <c r="H16" s="5"/>
      <c r="I16" s="5">
        <v>72</v>
      </c>
    </row>
    <row r="17" spans="1:9" x14ac:dyDescent="0.45">
      <c r="A17" s="5" t="s">
        <v>43</v>
      </c>
      <c r="B17" s="5" t="s">
        <v>42</v>
      </c>
      <c r="C17" s="5" t="s">
        <v>4</v>
      </c>
      <c r="D17" s="7">
        <v>2200000</v>
      </c>
      <c r="F17" s="5" t="s">
        <v>60</v>
      </c>
      <c r="G17" s="5" t="s">
        <v>61</v>
      </c>
      <c r="H17" s="5"/>
      <c r="I17" s="5">
        <v>70</v>
      </c>
    </row>
    <row r="18" spans="1:9" x14ac:dyDescent="0.45">
      <c r="A18" s="5" t="s">
        <v>44</v>
      </c>
      <c r="B18" s="5" t="s">
        <v>42</v>
      </c>
      <c r="C18" s="5" t="s">
        <v>2</v>
      </c>
      <c r="D18" s="7">
        <v>1600000</v>
      </c>
      <c r="F18" s="5" t="s">
        <v>62</v>
      </c>
      <c r="G18" s="5" t="s">
        <v>63</v>
      </c>
      <c r="H18" s="5"/>
      <c r="I18" s="5">
        <v>86</v>
      </c>
    </row>
    <row r="19" spans="1:9" x14ac:dyDescent="0.45">
      <c r="A19" s="5" t="s">
        <v>45</v>
      </c>
      <c r="B19" s="5" t="s">
        <v>39</v>
      </c>
      <c r="C19" s="5" t="s">
        <v>2</v>
      </c>
      <c r="D19" s="7">
        <v>1600000</v>
      </c>
      <c r="F19" s="5" t="s">
        <v>65</v>
      </c>
      <c r="G19" s="5" t="s">
        <v>66</v>
      </c>
      <c r="H19" s="5"/>
      <c r="I19" s="5">
        <v>72</v>
      </c>
    </row>
    <row r="20" spans="1:9" x14ac:dyDescent="0.45">
      <c r="A20" s="5" t="s">
        <v>46</v>
      </c>
      <c r="B20" s="5" t="s">
        <v>42</v>
      </c>
      <c r="C20" s="5" t="s">
        <v>5</v>
      </c>
      <c r="D20" s="7">
        <v>1250000</v>
      </c>
      <c r="F20" s="5" t="s">
        <v>67</v>
      </c>
      <c r="G20" s="5" t="s">
        <v>68</v>
      </c>
      <c r="H20" s="5"/>
      <c r="I20" s="5">
        <v>70</v>
      </c>
    </row>
    <row r="21" spans="1:9" x14ac:dyDescent="0.45">
      <c r="A21" s="5" t="s">
        <v>47</v>
      </c>
      <c r="B21" s="5" t="s">
        <v>39</v>
      </c>
      <c r="C21" s="5" t="s">
        <v>5</v>
      </c>
      <c r="D21" s="7">
        <v>1300000</v>
      </c>
      <c r="F21" s="5" t="s">
        <v>69</v>
      </c>
      <c r="G21" s="5" t="s">
        <v>70</v>
      </c>
      <c r="H21" s="5"/>
      <c r="I21" s="5">
        <v>68</v>
      </c>
    </row>
    <row r="22" spans="1:9" x14ac:dyDescent="0.45">
      <c r="A22" s="24" t="s">
        <v>48</v>
      </c>
      <c r="B22" s="24"/>
      <c r="C22" s="24"/>
      <c r="D22" s="7"/>
    </row>
    <row r="23" spans="1:9" x14ac:dyDescent="0.45">
      <c r="F23" t="s">
        <v>71</v>
      </c>
    </row>
    <row r="24" spans="1:9" x14ac:dyDescent="0.45">
      <c r="A24" s="3" t="s">
        <v>76</v>
      </c>
      <c r="B24" s="4" t="s">
        <v>77</v>
      </c>
      <c r="F24" s="5" t="s">
        <v>72</v>
      </c>
      <c r="G24" s="5" t="s">
        <v>73</v>
      </c>
      <c r="H24" s="5" t="s">
        <v>74</v>
      </c>
      <c r="I24" s="5" t="s">
        <v>75</v>
      </c>
    </row>
    <row r="25" spans="1:9" x14ac:dyDescent="0.45">
      <c r="A25" s="5" t="s">
        <v>78</v>
      </c>
      <c r="B25" s="5" t="s">
        <v>79</v>
      </c>
      <c r="C25" s="8" t="s">
        <v>80</v>
      </c>
      <c r="F25" s="5" t="s">
        <v>39</v>
      </c>
      <c r="G25" s="5" t="s">
        <v>3</v>
      </c>
      <c r="H25" s="5" t="s">
        <v>64</v>
      </c>
      <c r="I25" s="5" t="s">
        <v>42</v>
      </c>
    </row>
    <row r="26" spans="1:9" x14ac:dyDescent="0.45">
      <c r="A26" s="5" t="s">
        <v>81</v>
      </c>
      <c r="B26" s="5">
        <v>6.5119999999999996</v>
      </c>
      <c r="C26" s="5"/>
    </row>
    <row r="27" spans="1:9" x14ac:dyDescent="0.45">
      <c r="A27" s="5" t="s">
        <v>82</v>
      </c>
      <c r="B27" s="5">
        <v>6.3849999999999998</v>
      </c>
      <c r="C27" s="5"/>
    </row>
    <row r="28" spans="1:9" x14ac:dyDescent="0.45">
      <c r="A28" s="5" t="s">
        <v>83</v>
      </c>
      <c r="B28" s="5">
        <v>5.3860000000000001</v>
      </c>
      <c r="C28" s="5"/>
    </row>
    <row r="29" spans="1:9" x14ac:dyDescent="0.45">
      <c r="A29" s="5" t="s">
        <v>84</v>
      </c>
      <c r="B29" s="5">
        <v>5.165</v>
      </c>
      <c r="C29" s="5"/>
    </row>
    <row r="30" spans="1:9" x14ac:dyDescent="0.45">
      <c r="A30" s="5" t="s">
        <v>85</v>
      </c>
      <c r="B30" s="5"/>
      <c r="C30" s="5"/>
    </row>
    <row r="31" spans="1:9" x14ac:dyDescent="0.45">
      <c r="A31" s="5" t="s">
        <v>86</v>
      </c>
      <c r="B31" s="5">
        <v>6.2240000000000002</v>
      </c>
      <c r="C31" s="5"/>
    </row>
    <row r="32" spans="1:9" x14ac:dyDescent="0.45">
      <c r="A32" s="5" t="s">
        <v>87</v>
      </c>
      <c r="B32" s="5">
        <v>5.6369999999999996</v>
      </c>
      <c r="C32" s="5"/>
    </row>
    <row r="33" spans="1:3" x14ac:dyDescent="0.45">
      <c r="A33" s="5" t="s">
        <v>88</v>
      </c>
      <c r="B33" s="5">
        <v>5.3540000000000001</v>
      </c>
      <c r="C33" s="5"/>
    </row>
  </sheetData>
  <mergeCells count="1">
    <mergeCell ref="A22:C2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15"/>
  <sheetViews>
    <sheetView workbookViewId="0">
      <selection sqref="A1:F1"/>
    </sheetView>
  </sheetViews>
  <sheetFormatPr defaultRowHeight="17" x14ac:dyDescent="0.45"/>
  <cols>
    <col min="1" max="1" width="9.5" bestFit="1" customWidth="1"/>
    <col min="5" max="5" width="9.33203125" bestFit="1" customWidth="1"/>
  </cols>
  <sheetData>
    <row r="1" spans="1:6" ht="21" x14ac:dyDescent="0.45">
      <c r="A1" s="21" t="s">
        <v>153</v>
      </c>
      <c r="B1" s="21"/>
      <c r="C1" s="21"/>
      <c r="D1" s="21"/>
      <c r="E1" s="21"/>
      <c r="F1" s="21"/>
    </row>
    <row r="2" spans="1:6" ht="17" customHeight="1" x14ac:dyDescent="0.45">
      <c r="A2" s="19"/>
      <c r="B2" s="19"/>
      <c r="C2" s="19"/>
      <c r="D2" s="19"/>
      <c r="E2" s="19"/>
      <c r="F2" s="19"/>
    </row>
    <row r="3" spans="1:6" x14ac:dyDescent="0.45">
      <c r="A3" s="5" t="s">
        <v>154</v>
      </c>
      <c r="B3" s="5" t="s">
        <v>155</v>
      </c>
      <c r="C3" s="5" t="s">
        <v>156</v>
      </c>
      <c r="D3" s="5" t="s">
        <v>157</v>
      </c>
      <c r="E3" s="5" t="s">
        <v>158</v>
      </c>
      <c r="F3" s="5" t="s">
        <v>159</v>
      </c>
    </row>
    <row r="4" spans="1:6" x14ac:dyDescent="0.45">
      <c r="A4" s="15">
        <v>45580</v>
      </c>
      <c r="B4" s="5" t="s">
        <v>169</v>
      </c>
      <c r="C4" s="7">
        <v>1200</v>
      </c>
      <c r="D4" s="5">
        <v>20</v>
      </c>
      <c r="E4" s="7">
        <v>24000</v>
      </c>
      <c r="F4" s="5" t="s">
        <v>160</v>
      </c>
    </row>
    <row r="5" spans="1:6" x14ac:dyDescent="0.45">
      <c r="A5" s="15">
        <v>45580</v>
      </c>
      <c r="B5" s="5" t="s">
        <v>230</v>
      </c>
      <c r="C5" s="7">
        <v>15560</v>
      </c>
      <c r="D5" s="5">
        <v>20</v>
      </c>
      <c r="E5" s="7">
        <v>91200</v>
      </c>
      <c r="F5" s="5" t="s">
        <v>161</v>
      </c>
    </row>
    <row r="6" spans="1:6" x14ac:dyDescent="0.45">
      <c r="A6" s="15">
        <v>45580</v>
      </c>
      <c r="B6" s="5" t="s">
        <v>162</v>
      </c>
      <c r="C6" s="7">
        <v>20000</v>
      </c>
      <c r="D6" s="5">
        <v>40</v>
      </c>
      <c r="E6" s="7">
        <v>800000</v>
      </c>
      <c r="F6" s="5" t="s">
        <v>163</v>
      </c>
    </row>
    <row r="7" spans="1:6" x14ac:dyDescent="0.45">
      <c r="A7" s="15">
        <v>45579</v>
      </c>
      <c r="B7" s="5" t="s">
        <v>162</v>
      </c>
      <c r="C7" s="7">
        <v>20000</v>
      </c>
      <c r="D7" s="5">
        <v>24</v>
      </c>
      <c r="E7" s="7">
        <v>480000</v>
      </c>
      <c r="F7" s="5" t="s">
        <v>163</v>
      </c>
    </row>
    <row r="8" spans="1:6" x14ac:dyDescent="0.45">
      <c r="A8" s="15">
        <v>45576</v>
      </c>
      <c r="B8" s="5" t="s">
        <v>164</v>
      </c>
      <c r="C8" s="7">
        <v>9800</v>
      </c>
      <c r="D8" s="5">
        <v>15</v>
      </c>
      <c r="E8" s="7">
        <v>147000</v>
      </c>
      <c r="F8" s="5" t="s">
        <v>165</v>
      </c>
    </row>
    <row r="9" spans="1:6" x14ac:dyDescent="0.45">
      <c r="A9" s="15">
        <v>45574</v>
      </c>
      <c r="B9" s="5" t="s">
        <v>169</v>
      </c>
      <c r="C9" s="7">
        <v>1200</v>
      </c>
      <c r="D9" s="5">
        <v>60</v>
      </c>
      <c r="E9" s="7">
        <v>72000</v>
      </c>
      <c r="F9" s="5" t="s">
        <v>160</v>
      </c>
    </row>
    <row r="10" spans="1:6" x14ac:dyDescent="0.45">
      <c r="A10" s="15">
        <v>45573</v>
      </c>
      <c r="B10" s="5" t="s">
        <v>229</v>
      </c>
      <c r="C10" s="7">
        <v>10580</v>
      </c>
      <c r="D10" s="5">
        <v>11</v>
      </c>
      <c r="E10" s="7">
        <v>116380</v>
      </c>
      <c r="F10" s="5" t="s">
        <v>161</v>
      </c>
    </row>
    <row r="11" spans="1:6" x14ac:dyDescent="0.45">
      <c r="A11" s="15">
        <v>45572</v>
      </c>
      <c r="B11" s="5" t="s">
        <v>164</v>
      </c>
      <c r="C11" s="7">
        <v>980</v>
      </c>
      <c r="D11" s="5">
        <v>30</v>
      </c>
      <c r="E11" s="7">
        <v>29400</v>
      </c>
      <c r="F11" s="5" t="s">
        <v>166</v>
      </c>
    </row>
    <row r="12" spans="1:6" x14ac:dyDescent="0.45">
      <c r="A12" s="15">
        <v>45571</v>
      </c>
      <c r="B12" s="5" t="s">
        <v>167</v>
      </c>
      <c r="C12" s="7">
        <v>600</v>
      </c>
      <c r="D12" s="5">
        <v>5</v>
      </c>
      <c r="E12" s="7">
        <v>3000</v>
      </c>
      <c r="F12" s="5" t="s">
        <v>168</v>
      </c>
    </row>
    <row r="13" spans="1:6" x14ac:dyDescent="0.45">
      <c r="A13" s="15">
        <v>45571</v>
      </c>
      <c r="B13" s="5" t="s">
        <v>230</v>
      </c>
      <c r="C13" s="7">
        <v>15560</v>
      </c>
      <c r="D13" s="5">
        <v>19</v>
      </c>
      <c r="E13" s="7">
        <v>86640</v>
      </c>
      <c r="F13" s="5" t="s">
        <v>161</v>
      </c>
    </row>
    <row r="14" spans="1:6" x14ac:dyDescent="0.45">
      <c r="A14" s="15">
        <v>45570</v>
      </c>
      <c r="B14" s="5" t="s">
        <v>228</v>
      </c>
      <c r="C14" s="7">
        <v>600</v>
      </c>
      <c r="D14" s="5">
        <v>11</v>
      </c>
      <c r="E14" s="7">
        <v>6600</v>
      </c>
      <c r="F14" s="5" t="s">
        <v>168</v>
      </c>
    </row>
    <row r="15" spans="1:6" x14ac:dyDescent="0.45">
      <c r="A15" s="15">
        <v>45566</v>
      </c>
      <c r="B15" s="5" t="s">
        <v>229</v>
      </c>
      <c r="C15" s="7">
        <v>10580</v>
      </c>
      <c r="D15" s="5">
        <v>10</v>
      </c>
      <c r="E15" s="7">
        <v>105800</v>
      </c>
      <c r="F15" s="5" t="s">
        <v>161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E11"/>
  <sheetViews>
    <sheetView workbookViewId="0">
      <selection sqref="A1:E1"/>
    </sheetView>
  </sheetViews>
  <sheetFormatPr defaultRowHeight="17" x14ac:dyDescent="0.45"/>
  <cols>
    <col min="3" max="3" width="10.75" bestFit="1" customWidth="1"/>
    <col min="5" max="5" width="9" bestFit="1" customWidth="1"/>
  </cols>
  <sheetData>
    <row r="1" spans="1:5" ht="21" x14ac:dyDescent="0.45">
      <c r="A1" s="21" t="s">
        <v>170</v>
      </c>
      <c r="B1" s="21"/>
      <c r="C1" s="21"/>
      <c r="D1" s="21"/>
      <c r="E1" s="21"/>
    </row>
    <row r="3" spans="1:5" x14ac:dyDescent="0.45">
      <c r="A3" s="5" t="s">
        <v>171</v>
      </c>
      <c r="B3" s="5" t="s">
        <v>23</v>
      </c>
      <c r="C3" s="5" t="s">
        <v>183</v>
      </c>
      <c r="D3" s="5" t="s">
        <v>0</v>
      </c>
      <c r="E3" s="5" t="s">
        <v>184</v>
      </c>
    </row>
    <row r="4" spans="1:5" x14ac:dyDescent="0.45">
      <c r="A4" s="5" t="s">
        <v>172</v>
      </c>
      <c r="B4" s="5" t="s">
        <v>173</v>
      </c>
      <c r="C4" s="14">
        <v>34051</v>
      </c>
      <c r="D4" s="5" t="s">
        <v>174</v>
      </c>
      <c r="E4" s="20">
        <v>30</v>
      </c>
    </row>
    <row r="5" spans="1:5" x14ac:dyDescent="0.45">
      <c r="A5" s="5" t="s">
        <v>39</v>
      </c>
      <c r="B5" s="5" t="s">
        <v>175</v>
      </c>
      <c r="C5" s="14">
        <v>38617</v>
      </c>
      <c r="D5" s="5" t="s">
        <v>176</v>
      </c>
      <c r="E5" s="20">
        <v>18</v>
      </c>
    </row>
    <row r="6" spans="1:5" x14ac:dyDescent="0.45">
      <c r="A6" s="5" t="s">
        <v>172</v>
      </c>
      <c r="B6" s="5" t="s">
        <v>177</v>
      </c>
      <c r="C6" s="14">
        <v>41550</v>
      </c>
      <c r="D6" s="5" t="s">
        <v>4</v>
      </c>
      <c r="E6" s="20">
        <v>10</v>
      </c>
    </row>
    <row r="7" spans="1:5" x14ac:dyDescent="0.45">
      <c r="A7" s="5" t="s">
        <v>39</v>
      </c>
      <c r="B7" s="5" t="s">
        <v>178</v>
      </c>
      <c r="C7" s="14">
        <v>44451</v>
      </c>
      <c r="D7" s="5" t="s">
        <v>5</v>
      </c>
      <c r="E7" s="20">
        <v>2</v>
      </c>
    </row>
    <row r="8" spans="1:5" x14ac:dyDescent="0.45">
      <c r="A8" s="5" t="s">
        <v>39</v>
      </c>
      <c r="B8" s="5" t="s">
        <v>179</v>
      </c>
      <c r="C8" s="14">
        <v>38983</v>
      </c>
      <c r="D8" s="5" t="s">
        <v>176</v>
      </c>
      <c r="E8" s="20">
        <v>17</v>
      </c>
    </row>
    <row r="9" spans="1:5" x14ac:dyDescent="0.45">
      <c r="A9" s="5" t="s">
        <v>172</v>
      </c>
      <c r="B9" s="5" t="s">
        <v>180</v>
      </c>
      <c r="C9" s="14">
        <v>44703</v>
      </c>
      <c r="D9" s="5" t="s">
        <v>5</v>
      </c>
      <c r="E9" s="20">
        <v>1</v>
      </c>
    </row>
    <row r="10" spans="1:5" x14ac:dyDescent="0.45">
      <c r="A10" s="5" t="s">
        <v>39</v>
      </c>
      <c r="B10" s="5" t="s">
        <v>181</v>
      </c>
      <c r="C10" s="14">
        <v>41163</v>
      </c>
      <c r="D10" s="5" t="s">
        <v>4</v>
      </c>
      <c r="E10" s="20">
        <v>11</v>
      </c>
    </row>
    <row r="11" spans="1:5" x14ac:dyDescent="0.45">
      <c r="A11" s="5" t="s">
        <v>172</v>
      </c>
      <c r="B11" s="5" t="s">
        <v>182</v>
      </c>
      <c r="C11" s="14">
        <v>38266</v>
      </c>
      <c r="D11" s="5" t="s">
        <v>176</v>
      </c>
      <c r="E11" s="20">
        <v>19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240C7-BE3E-4DA2-8A4F-F5DC16179D1E}">
  <dimension ref="A1:H14"/>
  <sheetViews>
    <sheetView workbookViewId="0">
      <selection sqref="A1:H1"/>
    </sheetView>
  </sheetViews>
  <sheetFormatPr defaultRowHeight="17" x14ac:dyDescent="0.45"/>
  <cols>
    <col min="1" max="1" width="10.4140625" bestFit="1" customWidth="1"/>
    <col min="3" max="4" width="10.4140625" bestFit="1" customWidth="1"/>
    <col min="7" max="7" width="9.08203125" bestFit="1" customWidth="1"/>
    <col min="8" max="8" width="10.4140625" bestFit="1" customWidth="1"/>
  </cols>
  <sheetData>
    <row r="1" spans="1:8" ht="21" x14ac:dyDescent="0.45">
      <c r="A1" s="21" t="s">
        <v>185</v>
      </c>
      <c r="B1" s="21"/>
      <c r="C1" s="21"/>
      <c r="D1" s="21"/>
      <c r="E1" s="21"/>
      <c r="F1" s="21"/>
      <c r="G1" s="21"/>
      <c r="H1" s="21"/>
    </row>
    <row r="2" spans="1:8" x14ac:dyDescent="0.45">
      <c r="A2" t="s">
        <v>187</v>
      </c>
      <c r="B2" s="10">
        <v>0.1</v>
      </c>
      <c r="C2" s="10">
        <v>0</v>
      </c>
    </row>
    <row r="3" spans="1:8" x14ac:dyDescent="0.45">
      <c r="A3" t="s">
        <v>188</v>
      </c>
      <c r="B3" s="10">
        <v>0.15</v>
      </c>
      <c r="C3" s="1"/>
    </row>
    <row r="4" spans="1:8" x14ac:dyDescent="0.45">
      <c r="A4" s="5" t="s">
        <v>189</v>
      </c>
      <c r="B4" s="5" t="s">
        <v>190</v>
      </c>
      <c r="C4" s="5" t="s">
        <v>191</v>
      </c>
      <c r="D4" s="5" t="s">
        <v>192</v>
      </c>
      <c r="E4" s="5" t="s">
        <v>193</v>
      </c>
      <c r="F4" s="5" t="s">
        <v>186</v>
      </c>
      <c r="G4" s="5" t="s">
        <v>194</v>
      </c>
      <c r="H4" s="5" t="s">
        <v>195</v>
      </c>
    </row>
    <row r="5" spans="1:8" x14ac:dyDescent="0.45">
      <c r="A5" s="16">
        <v>45538</v>
      </c>
      <c r="B5" s="5" t="s">
        <v>196</v>
      </c>
      <c r="C5" s="5" t="s">
        <v>197</v>
      </c>
      <c r="D5" s="5">
        <f>IF(C5="오렌지가공",200,IF(C5="포도가공",300,250))</f>
        <v>200</v>
      </c>
      <c r="E5" s="5">
        <v>800</v>
      </c>
      <c r="F5" s="12">
        <f>IF(E5&gt;=750,$B$2,$C$2)</f>
        <v>0.1</v>
      </c>
      <c r="G5" s="7">
        <f>D5*E5*(1-F5)</f>
        <v>144000</v>
      </c>
      <c r="H5" s="7">
        <f>G5*(1+$B$3)</f>
        <v>165600</v>
      </c>
    </row>
    <row r="6" spans="1:8" x14ac:dyDescent="0.45">
      <c r="A6" s="16">
        <v>45539</v>
      </c>
      <c r="B6" s="5" t="s">
        <v>198</v>
      </c>
      <c r="C6" s="5" t="s">
        <v>199</v>
      </c>
      <c r="D6" s="5">
        <f t="shared" ref="D6:D13" si="0">IF(C6="오렌지가공",200,IF(C6="포도가공",300,250))</f>
        <v>300</v>
      </c>
      <c r="E6" s="5">
        <v>500</v>
      </c>
      <c r="F6" s="12">
        <f t="shared" ref="F6:F13" si="1">IF(E6&gt;=750,$B$2,$C$2)</f>
        <v>0</v>
      </c>
      <c r="G6" s="7">
        <f t="shared" ref="G6:G13" si="2">D6*E6*(1-F6)</f>
        <v>150000</v>
      </c>
      <c r="H6" s="7">
        <f t="shared" ref="H6:H13" si="3">G6*(1+$B$3)</f>
        <v>172500</v>
      </c>
    </row>
    <row r="7" spans="1:8" x14ac:dyDescent="0.45">
      <c r="A7" s="16">
        <v>45540</v>
      </c>
      <c r="B7" s="5" t="s">
        <v>200</v>
      </c>
      <c r="C7" s="5" t="s">
        <v>201</v>
      </c>
      <c r="D7" s="5">
        <f t="shared" si="0"/>
        <v>250</v>
      </c>
      <c r="E7" s="5">
        <v>700</v>
      </c>
      <c r="F7" s="12">
        <f t="shared" si="1"/>
        <v>0</v>
      </c>
      <c r="G7" s="7">
        <f t="shared" si="2"/>
        <v>175000</v>
      </c>
      <c r="H7" s="7">
        <f t="shared" si="3"/>
        <v>201249.99999999997</v>
      </c>
    </row>
    <row r="8" spans="1:8" x14ac:dyDescent="0.45">
      <c r="A8" s="16">
        <v>45541</v>
      </c>
      <c r="B8" s="5" t="s">
        <v>196</v>
      </c>
      <c r="C8" s="5" t="s">
        <v>197</v>
      </c>
      <c r="D8" s="5">
        <f t="shared" si="0"/>
        <v>200</v>
      </c>
      <c r="E8" s="5">
        <v>900</v>
      </c>
      <c r="F8" s="12">
        <f t="shared" si="1"/>
        <v>0.1</v>
      </c>
      <c r="G8" s="7">
        <f t="shared" si="2"/>
        <v>162000</v>
      </c>
      <c r="H8" s="7">
        <f t="shared" si="3"/>
        <v>186300</v>
      </c>
    </row>
    <row r="9" spans="1:8" x14ac:dyDescent="0.45">
      <c r="A9" s="16">
        <v>45542</v>
      </c>
      <c r="B9" s="5" t="s">
        <v>198</v>
      </c>
      <c r="C9" s="5" t="s">
        <v>199</v>
      </c>
      <c r="D9" s="5">
        <f t="shared" si="0"/>
        <v>300</v>
      </c>
      <c r="E9" s="5">
        <v>600</v>
      </c>
      <c r="F9" s="12">
        <f t="shared" si="1"/>
        <v>0</v>
      </c>
      <c r="G9" s="7">
        <f t="shared" si="2"/>
        <v>180000</v>
      </c>
      <c r="H9" s="7">
        <f t="shared" si="3"/>
        <v>206999.99999999997</v>
      </c>
    </row>
    <row r="10" spans="1:8" x14ac:dyDescent="0.45">
      <c r="A10" s="16">
        <v>45543</v>
      </c>
      <c r="B10" s="5" t="s">
        <v>200</v>
      </c>
      <c r="C10" s="5" t="s">
        <v>201</v>
      </c>
      <c r="D10" s="5">
        <f t="shared" si="0"/>
        <v>250</v>
      </c>
      <c r="E10" s="5">
        <v>800</v>
      </c>
      <c r="F10" s="12">
        <f t="shared" si="1"/>
        <v>0.1</v>
      </c>
      <c r="G10" s="7">
        <f t="shared" si="2"/>
        <v>180000</v>
      </c>
      <c r="H10" s="7">
        <f t="shared" si="3"/>
        <v>206999.99999999997</v>
      </c>
    </row>
    <row r="11" spans="1:8" x14ac:dyDescent="0.45">
      <c r="A11" s="16">
        <v>45544</v>
      </c>
      <c r="B11" s="5" t="s">
        <v>196</v>
      </c>
      <c r="C11" s="5" t="s">
        <v>197</v>
      </c>
      <c r="D11" s="5">
        <f t="shared" si="0"/>
        <v>200</v>
      </c>
      <c r="E11" s="5">
        <v>750</v>
      </c>
      <c r="F11" s="12">
        <f t="shared" si="1"/>
        <v>0.1</v>
      </c>
      <c r="G11" s="7">
        <f t="shared" si="2"/>
        <v>135000</v>
      </c>
      <c r="H11" s="7">
        <f t="shared" si="3"/>
        <v>155250</v>
      </c>
    </row>
    <row r="12" spans="1:8" x14ac:dyDescent="0.45">
      <c r="A12" s="16">
        <v>45545</v>
      </c>
      <c r="B12" s="5" t="s">
        <v>198</v>
      </c>
      <c r="C12" s="5" t="s">
        <v>199</v>
      </c>
      <c r="D12" s="5">
        <f t="shared" si="0"/>
        <v>300</v>
      </c>
      <c r="E12" s="5">
        <v>550</v>
      </c>
      <c r="F12" s="12">
        <f t="shared" si="1"/>
        <v>0</v>
      </c>
      <c r="G12" s="7">
        <f t="shared" si="2"/>
        <v>165000</v>
      </c>
      <c r="H12" s="7">
        <f t="shared" si="3"/>
        <v>189749.99999999997</v>
      </c>
    </row>
    <row r="13" spans="1:8" x14ac:dyDescent="0.45">
      <c r="A13" s="16">
        <v>45546</v>
      </c>
      <c r="B13" s="5" t="s">
        <v>200</v>
      </c>
      <c r="C13" s="5" t="s">
        <v>201</v>
      </c>
      <c r="D13" s="5">
        <f t="shared" si="0"/>
        <v>250</v>
      </c>
      <c r="E13" s="5">
        <v>750</v>
      </c>
      <c r="F13" s="12">
        <f t="shared" si="1"/>
        <v>0.1</v>
      </c>
      <c r="G13" s="7">
        <f t="shared" si="2"/>
        <v>168750</v>
      </c>
      <c r="H13" s="7">
        <f t="shared" si="3"/>
        <v>194062.49999999997</v>
      </c>
    </row>
    <row r="14" spans="1:8" x14ac:dyDescent="0.45">
      <c r="A14" s="25" t="s">
        <v>203</v>
      </c>
      <c r="B14" s="26"/>
      <c r="C14" s="26"/>
      <c r="D14" s="26"/>
      <c r="E14" s="26"/>
      <c r="F14" s="27"/>
      <c r="G14" s="17">
        <f>AVERAGE(G5:G13)</f>
        <v>162194.44444444444</v>
      </c>
      <c r="H14" s="17">
        <f>AVERAGE(H5:H13)</f>
        <v>186523.61111111112</v>
      </c>
    </row>
  </sheetData>
  <mergeCells count="2">
    <mergeCell ref="A1:H1"/>
    <mergeCell ref="A14:F1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2"/>
  <sheetViews>
    <sheetView workbookViewId="0">
      <selection sqref="A1:E1"/>
    </sheetView>
  </sheetViews>
  <sheetFormatPr defaultRowHeight="17" x14ac:dyDescent="0.45"/>
  <cols>
    <col min="6" max="6" width="5.58203125" customWidth="1"/>
  </cols>
  <sheetData>
    <row r="1" spans="1:5" ht="21" x14ac:dyDescent="0.45">
      <c r="A1" s="21" t="s">
        <v>204</v>
      </c>
      <c r="B1" s="21"/>
      <c r="C1" s="21"/>
      <c r="D1" s="21"/>
      <c r="E1" s="21"/>
    </row>
    <row r="3" spans="1:5" x14ac:dyDescent="0.45">
      <c r="A3" s="5" t="s">
        <v>205</v>
      </c>
      <c r="B3" s="5" t="s">
        <v>206</v>
      </c>
      <c r="C3" s="5" t="s">
        <v>207</v>
      </c>
      <c r="D3" s="5" t="s">
        <v>208</v>
      </c>
      <c r="E3" s="5" t="s">
        <v>202</v>
      </c>
    </row>
    <row r="4" spans="1:5" x14ac:dyDescent="0.45">
      <c r="A4" s="5" t="s">
        <v>209</v>
      </c>
      <c r="B4" s="5">
        <v>86</v>
      </c>
      <c r="C4" s="5">
        <v>88</v>
      </c>
      <c r="D4" s="5">
        <v>91</v>
      </c>
      <c r="E4" s="5"/>
    </row>
    <row r="5" spans="1:5" x14ac:dyDescent="0.45">
      <c r="A5" s="5" t="s">
        <v>210</v>
      </c>
      <c r="B5" s="5">
        <v>67</v>
      </c>
      <c r="C5" s="5">
        <v>83</v>
      </c>
      <c r="D5" s="5">
        <v>75</v>
      </c>
      <c r="E5" s="5"/>
    </row>
    <row r="6" spans="1:5" x14ac:dyDescent="0.45">
      <c r="A6" s="5" t="s">
        <v>211</v>
      </c>
      <c r="B6" s="5">
        <v>68</v>
      </c>
      <c r="C6" s="5">
        <v>55</v>
      </c>
      <c r="D6" s="5">
        <v>62</v>
      </c>
      <c r="E6" s="5"/>
    </row>
    <row r="7" spans="1:5" x14ac:dyDescent="0.45">
      <c r="A7" s="5" t="s">
        <v>212</v>
      </c>
      <c r="B7" s="5">
        <v>94</v>
      </c>
      <c r="C7" s="5">
        <v>92</v>
      </c>
      <c r="D7" s="5">
        <v>95</v>
      </c>
      <c r="E7" s="5"/>
    </row>
    <row r="8" spans="1:5" x14ac:dyDescent="0.45">
      <c r="A8" s="5" t="s">
        <v>213</v>
      </c>
      <c r="B8" s="5">
        <v>92</v>
      </c>
      <c r="C8" s="5">
        <v>90</v>
      </c>
      <c r="D8" s="5">
        <v>91</v>
      </c>
      <c r="E8" s="5"/>
    </row>
    <row r="9" spans="1:5" x14ac:dyDescent="0.45">
      <c r="A9" s="5" t="s">
        <v>214</v>
      </c>
      <c r="B9" s="5">
        <v>78</v>
      </c>
      <c r="C9" s="5">
        <v>81</v>
      </c>
      <c r="D9" s="5">
        <v>80</v>
      </c>
      <c r="E9" s="5"/>
    </row>
    <row r="10" spans="1:5" x14ac:dyDescent="0.45">
      <c r="A10" s="5" t="s">
        <v>215</v>
      </c>
      <c r="B10" s="5">
        <v>90</v>
      </c>
      <c r="C10" s="5">
        <v>85</v>
      </c>
      <c r="D10" s="5">
        <v>87</v>
      </c>
      <c r="E10" s="5"/>
    </row>
    <row r="11" spans="1:5" x14ac:dyDescent="0.45">
      <c r="A11" s="5" t="s">
        <v>216</v>
      </c>
      <c r="B11" s="5">
        <v>82</v>
      </c>
      <c r="C11" s="5">
        <v>85</v>
      </c>
      <c r="D11" s="5">
        <v>79</v>
      </c>
      <c r="E11" s="5"/>
    </row>
    <row r="12" spans="1:5" x14ac:dyDescent="0.45">
      <c r="A12" s="5" t="s">
        <v>217</v>
      </c>
      <c r="B12" s="5">
        <v>79</v>
      </c>
      <c r="C12" s="5">
        <v>86</v>
      </c>
      <c r="D12" s="5">
        <v>82</v>
      </c>
      <c r="E12" s="5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1"/>
  <sheetViews>
    <sheetView workbookViewId="0">
      <selection sqref="A1:E1"/>
    </sheetView>
  </sheetViews>
  <sheetFormatPr defaultRowHeight="17" x14ac:dyDescent="0.45"/>
  <sheetData>
    <row r="1" spans="1:5" ht="21" x14ac:dyDescent="0.45">
      <c r="A1" s="21" t="s">
        <v>218</v>
      </c>
      <c r="B1" s="21"/>
      <c r="C1" s="21"/>
      <c r="D1" s="21"/>
      <c r="E1" s="21"/>
    </row>
    <row r="2" spans="1:5" x14ac:dyDescent="0.45">
      <c r="E2" s="18" t="s">
        <v>219</v>
      </c>
    </row>
    <row r="3" spans="1:5" x14ac:dyDescent="0.45">
      <c r="A3" s="5" t="s">
        <v>220</v>
      </c>
      <c r="B3" s="5" t="s">
        <v>221</v>
      </c>
      <c r="C3" s="5" t="s">
        <v>222</v>
      </c>
      <c r="D3" s="5" t="s">
        <v>223</v>
      </c>
      <c r="E3" s="5" t="s">
        <v>224</v>
      </c>
    </row>
    <row r="4" spans="1:5" x14ac:dyDescent="0.45">
      <c r="A4" s="5">
        <v>1</v>
      </c>
      <c r="B4" s="5" t="s">
        <v>225</v>
      </c>
      <c r="C4" s="5">
        <v>9</v>
      </c>
      <c r="D4" s="5">
        <v>7</v>
      </c>
      <c r="E4" s="13">
        <v>1680</v>
      </c>
    </row>
    <row r="5" spans="1:5" x14ac:dyDescent="0.45">
      <c r="A5" s="5">
        <v>2</v>
      </c>
      <c r="B5" s="5" t="s">
        <v>231</v>
      </c>
      <c r="C5" s="5">
        <v>5</v>
      </c>
      <c r="D5" s="5">
        <v>2</v>
      </c>
      <c r="E5" s="13">
        <v>300</v>
      </c>
    </row>
    <row r="6" spans="1:5" x14ac:dyDescent="0.45">
      <c r="A6" s="5">
        <v>3</v>
      </c>
      <c r="B6" s="5" t="s">
        <v>232</v>
      </c>
      <c r="C6" s="5">
        <v>11</v>
      </c>
      <c r="D6" s="5">
        <v>15</v>
      </c>
      <c r="E6" s="13">
        <v>5400</v>
      </c>
    </row>
    <row r="7" spans="1:5" x14ac:dyDescent="0.45">
      <c r="A7" s="5">
        <v>4</v>
      </c>
      <c r="B7" s="5" t="s">
        <v>233</v>
      </c>
      <c r="C7" s="5">
        <v>14</v>
      </c>
      <c r="D7" s="5">
        <v>14</v>
      </c>
      <c r="E7" s="13">
        <v>5880</v>
      </c>
    </row>
    <row r="8" spans="1:5" x14ac:dyDescent="0.45">
      <c r="A8" s="5">
        <v>5</v>
      </c>
      <c r="B8" s="5" t="s">
        <v>226</v>
      </c>
      <c r="C8" s="5">
        <v>7</v>
      </c>
      <c r="D8" s="5">
        <v>20</v>
      </c>
      <c r="E8" s="13">
        <v>6000</v>
      </c>
    </row>
    <row r="9" spans="1:5" x14ac:dyDescent="0.45">
      <c r="A9" s="5">
        <v>6</v>
      </c>
      <c r="B9" s="5" t="s">
        <v>234</v>
      </c>
      <c r="C9" s="5">
        <v>17</v>
      </c>
      <c r="D9" s="5">
        <v>23</v>
      </c>
      <c r="E9" s="13">
        <v>12650</v>
      </c>
    </row>
    <row r="10" spans="1:5" x14ac:dyDescent="0.45">
      <c r="A10" s="5">
        <v>7</v>
      </c>
      <c r="B10" s="5" t="s">
        <v>235</v>
      </c>
      <c r="C10" s="5">
        <v>12</v>
      </c>
      <c r="D10" s="5">
        <v>10</v>
      </c>
      <c r="E10" s="13">
        <v>7800</v>
      </c>
    </row>
    <row r="11" spans="1:5" x14ac:dyDescent="0.45">
      <c r="A11" s="5">
        <v>8</v>
      </c>
      <c r="B11" s="5" t="s">
        <v>236</v>
      </c>
      <c r="C11" s="5">
        <v>19</v>
      </c>
      <c r="D11" s="5">
        <v>15</v>
      </c>
      <c r="E11" s="13">
        <v>10050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2024-07-16T08:13:03Z</dcterms:modified>
</cp:coreProperties>
</file>