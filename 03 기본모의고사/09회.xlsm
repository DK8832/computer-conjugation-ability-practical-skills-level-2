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B3588154-7E41-42F5-B6A1-9CF8FAF86A37}" xr6:coauthVersionLast="47" xr6:coauthVersionMax="47" xr10:uidLastSave="{00000000-0000-0000-0000-000000000000}"/>
  <bookViews>
    <workbookView xWindow="-37640" yWindow="1020" windowWidth="29240" windowHeight="18690" tabRatio="723" xr2:uid="{1EA7D4BC-0E71-467A-81F4-8371BAA0CFDB}"/>
  </bookViews>
  <sheets>
    <sheet name="기본작업-1" sheetId="1" r:id="rId1"/>
    <sheet name="기본작업-2" sheetId="12" r:id="rId2"/>
    <sheet name="기본작업-3" sheetId="3" r:id="rId3"/>
    <sheet name="기본작업-4" sheetId="9" r:id="rId4"/>
    <sheet name="계산작업" sheetId="4" r:id="rId5"/>
    <sheet name="분석작업-1" sheetId="5" r:id="rId6"/>
    <sheet name="분석작업-2" sheetId="6" r:id="rId7"/>
    <sheet name="분석작업-3" sheetId="11" r:id="rId8"/>
    <sheet name="매크로작업" sheetId="7" r:id="rId9"/>
    <sheet name="차트작업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1" l="1"/>
  <c r="G4" i="11" s="1"/>
  <c r="H4" i="11" s="1"/>
  <c r="D10" i="8" l="1"/>
  <c r="C10" i="8"/>
  <c r="E5" i="7"/>
  <c r="F5" i="7" s="1"/>
  <c r="E6" i="7"/>
  <c r="E7" i="7"/>
  <c r="E8" i="7"/>
  <c r="E9" i="7"/>
  <c r="F9" i="7" s="1"/>
  <c r="E10" i="7"/>
  <c r="E11" i="7"/>
  <c r="F11" i="7" s="1"/>
  <c r="E4" i="7"/>
  <c r="F4" i="7" s="1"/>
  <c r="F6" i="7"/>
  <c r="F7" i="7"/>
  <c r="F8" i="7"/>
  <c r="F10" i="7"/>
  <c r="G6" i="7" l="1"/>
  <c r="G8" i="7"/>
  <c r="G4" i="7"/>
  <c r="G7" i="7"/>
  <c r="G9" i="7"/>
  <c r="G5" i="7"/>
  <c r="G10" i="7"/>
  <c r="G11" i="7"/>
</calcChain>
</file>

<file path=xl/sharedStrings.xml><?xml version="1.0" encoding="utf-8"?>
<sst xmlns="http://schemas.openxmlformats.org/spreadsheetml/2006/main" count="373" uniqueCount="255">
  <si>
    <t>한국상사의 사원 명부</t>
  </si>
  <si>
    <t>이름</t>
  </si>
  <si>
    <t>전화번호</t>
  </si>
  <si>
    <t>생산부</t>
  </si>
  <si>
    <t>[표1]</t>
  </si>
  <si>
    <t>성적표</t>
  </si>
  <si>
    <t>성별</t>
  </si>
  <si>
    <t>학과</t>
  </si>
  <si>
    <t>점수</t>
  </si>
  <si>
    <t>김성식</t>
  </si>
  <si>
    <t>남</t>
  </si>
  <si>
    <t>생물학과</t>
  </si>
  <si>
    <t>신유진</t>
  </si>
  <si>
    <t>여</t>
  </si>
  <si>
    <t>물리학과</t>
  </si>
  <si>
    <t>나한일</t>
  </si>
  <si>
    <t>박정아</t>
  </si>
  <si>
    <t>성진희</t>
  </si>
  <si>
    <t>이명호</t>
  </si>
  <si>
    <t>최진성</t>
  </si>
  <si>
    <t>학과최대평균점수</t>
  </si>
  <si>
    <t>[표3]</t>
  </si>
  <si>
    <t>상공홈쇼핑 배송현황</t>
  </si>
  <si>
    <t>고객명</t>
  </si>
  <si>
    <t>주문코드</t>
  </si>
  <si>
    <t>배송코드</t>
  </si>
  <si>
    <t>김동준</t>
  </si>
  <si>
    <t>유아영</t>
  </si>
  <si>
    <t>황진주</t>
  </si>
  <si>
    <t>박해수</t>
  </si>
  <si>
    <t>최대건</t>
  </si>
  <si>
    <t>김민서</t>
  </si>
  <si>
    <t>이가영</t>
  </si>
  <si>
    <t>권지향</t>
  </si>
  <si>
    <t xml:space="preserve"> cmk975  </t>
    <phoneticPr fontId="1" type="noConversion"/>
  </si>
  <si>
    <t xml:space="preserve">   fun227  </t>
    <phoneticPr fontId="1" type="noConversion"/>
  </si>
  <si>
    <t xml:space="preserve"> lsh684  </t>
    <phoneticPr fontId="1" type="noConversion"/>
  </si>
  <si>
    <t xml:space="preserve">  cmk143  </t>
    <phoneticPr fontId="1" type="noConversion"/>
  </si>
  <si>
    <t xml:space="preserve">   fun362  </t>
    <phoneticPr fontId="1" type="noConversion"/>
  </si>
  <si>
    <t xml:space="preserve"> cmk307  </t>
    <phoneticPr fontId="1" type="noConversion"/>
  </si>
  <si>
    <t xml:space="preserve">   lsh684  </t>
    <phoneticPr fontId="1" type="noConversion"/>
  </si>
  <si>
    <t xml:space="preserve">  fun491  </t>
    <phoneticPr fontId="1" type="noConversion"/>
  </si>
  <si>
    <t>[표4]</t>
  </si>
  <si>
    <t>직원별 실적</t>
  </si>
  <si>
    <t>사원명</t>
  </si>
  <si>
    <t>부서명</t>
  </si>
  <si>
    <t>직위</t>
  </si>
  <si>
    <t>판매량</t>
  </si>
  <si>
    <t>이경환</t>
  </si>
  <si>
    <t>영업A</t>
  </si>
  <si>
    <t>과장</t>
  </si>
  <si>
    <t>김지영</t>
  </si>
  <si>
    <t>영업B</t>
  </si>
  <si>
    <t>최고은</t>
  </si>
  <si>
    <t>대리</t>
  </si>
  <si>
    <t>유경남</t>
  </si>
  <si>
    <t>정진수</t>
  </si>
  <si>
    <t>오나라</t>
  </si>
  <si>
    <t>정해진</t>
  </si>
  <si>
    <t>사원</t>
  </si>
  <si>
    <t>김지해</t>
  </si>
  <si>
    <t>영업A 우수직원 판매량 평균</t>
  </si>
  <si>
    <t xml:space="preserve">[표5] </t>
  </si>
  <si>
    <t>신체검사결과</t>
  </si>
  <si>
    <t>성명</t>
  </si>
  <si>
    <t>신장(m)</t>
  </si>
  <si>
    <t>체중(kg)</t>
  </si>
  <si>
    <t>체질량지수</t>
  </si>
  <si>
    <t>이원철</t>
  </si>
  <si>
    <t>김민천</t>
  </si>
  <si>
    <t>고인숙</t>
  </si>
  <si>
    <t>박철수</t>
  </si>
  <si>
    <t>정은경</t>
  </si>
  <si>
    <t>이진녀</t>
  </si>
  <si>
    <t>김정민</t>
  </si>
  <si>
    <t>한국상사의 상품매입현황</t>
    <phoneticPr fontId="1" type="noConversion"/>
  </si>
  <si>
    <t>상품명</t>
  </si>
  <si>
    <t>재고액</t>
  </si>
  <si>
    <t xml:space="preserve"> 소계 </t>
  </si>
  <si>
    <t>매입처</t>
  </si>
  <si>
    <t>대림상사</t>
  </si>
  <si>
    <t>535-1254</t>
  </si>
  <si>
    <t>볼펜</t>
  </si>
  <si>
    <t>현대상사</t>
  </si>
  <si>
    <t>548-9652</t>
  </si>
  <si>
    <t>새한상사</t>
  </si>
  <si>
    <t>743-8562</t>
  </si>
  <si>
    <t>삼성상사</t>
  </si>
  <si>
    <t>548-7754</t>
  </si>
  <si>
    <t>파일</t>
  </si>
  <si>
    <t>대우상사</t>
  </si>
  <si>
    <t>775-4278</t>
  </si>
  <si>
    <t>가위</t>
    <phoneticPr fontId="1" type="noConversion"/>
  </si>
  <si>
    <t>포스트잇</t>
    <phoneticPr fontId="1" type="noConversion"/>
  </si>
  <si>
    <t>지점별 판매현황</t>
    <phoneticPr fontId="1" type="noConversion"/>
  </si>
  <si>
    <t>지점코드</t>
  </si>
  <si>
    <t>지점명</t>
  </si>
  <si>
    <t>지점장명</t>
  </si>
  <si>
    <t>휴대전화</t>
  </si>
  <si>
    <t>입고량</t>
  </si>
  <si>
    <t>재고량</t>
  </si>
  <si>
    <t>판매금액</t>
  </si>
  <si>
    <t>KA-100</t>
  </si>
  <si>
    <t>강릉</t>
  </si>
  <si>
    <t>010-0144-9534</t>
  </si>
  <si>
    <t>GW-200</t>
  </si>
  <si>
    <t>광주</t>
  </si>
  <si>
    <t>탁상공</t>
  </si>
  <si>
    <t>010-7818-4172</t>
  </si>
  <si>
    <t>DA-300</t>
  </si>
  <si>
    <t>대구</t>
  </si>
  <si>
    <t>010-9861-1955</t>
  </si>
  <si>
    <t>TA-400</t>
  </si>
  <si>
    <t>대전</t>
  </si>
  <si>
    <t>조달업</t>
  </si>
  <si>
    <t>010-2093-8023</t>
  </si>
  <si>
    <t>BU-500</t>
  </si>
  <si>
    <t>부산</t>
  </si>
  <si>
    <t>모상군</t>
  </si>
  <si>
    <t>010-0113-0719</t>
  </si>
  <si>
    <t>010-8254-8073</t>
  </si>
  <si>
    <t>박용성</t>
  </si>
  <si>
    <t>010-4314-8568</t>
  </si>
  <si>
    <t>010-4775-1812</t>
  </si>
  <si>
    <t>도라지</t>
  </si>
  <si>
    <t>010-9855-3333</t>
  </si>
  <si>
    <t>010-4595-3481</t>
  </si>
  <si>
    <t>010-1795-4447</t>
  </si>
  <si>
    <t>홍시진</t>
    <phoneticPr fontId="1" type="noConversion"/>
  </si>
  <si>
    <t>지승연</t>
    <phoneticPr fontId="1" type="noConversion"/>
  </si>
  <si>
    <t>최나라</t>
    <phoneticPr fontId="1" type="noConversion"/>
  </si>
  <si>
    <t>서성대</t>
    <phoneticPr fontId="1" type="noConversion"/>
  </si>
  <si>
    <t>김치국</t>
    <phoneticPr fontId="1" type="noConversion"/>
  </si>
  <si>
    <t>이자리</t>
    <phoneticPr fontId="1" type="noConversion"/>
  </si>
  <si>
    <t>급여명세 목록</t>
    <phoneticPr fontId="1" type="noConversion"/>
  </si>
  <si>
    <t>소속부서</t>
  </si>
  <si>
    <t>월급</t>
  </si>
  <si>
    <t>상여급</t>
  </si>
  <si>
    <t>강성실</t>
  </si>
  <si>
    <t>김성수</t>
  </si>
  <si>
    <t>총무부</t>
  </si>
  <si>
    <t>부장</t>
  </si>
  <si>
    <t>김영수</t>
  </si>
  <si>
    <t>김영철</t>
  </si>
  <si>
    <t>박경완</t>
  </si>
  <si>
    <t>영업부</t>
  </si>
  <si>
    <t>유석민</t>
  </si>
  <si>
    <t>유지환</t>
  </si>
  <si>
    <t>윤계열</t>
  </si>
  <si>
    <t>이병택</t>
  </si>
  <si>
    <t>임정수</t>
  </si>
  <si>
    <t>차태현</t>
  </si>
  <si>
    <t>최대근</t>
  </si>
  <si>
    <t>최재형</t>
  </si>
  <si>
    <t>최지원</t>
  </si>
  <si>
    <t>하용수</t>
  </si>
  <si>
    <t>부서별 급여 지급 내역서</t>
    <phoneticPr fontId="1" type="noConversion"/>
  </si>
  <si>
    <t>사원코드</t>
  </si>
  <si>
    <t>근무년수</t>
  </si>
  <si>
    <t>기본급</t>
  </si>
  <si>
    <t>수당</t>
  </si>
  <si>
    <t>지급액</t>
  </si>
  <si>
    <t>G1</t>
  </si>
  <si>
    <t>홍기남</t>
  </si>
  <si>
    <t>기획부</t>
  </si>
  <si>
    <t>C2</t>
  </si>
  <si>
    <t>이기자</t>
  </si>
  <si>
    <t>G3</t>
  </si>
  <si>
    <t>차후서</t>
  </si>
  <si>
    <t>Y1</t>
  </si>
  <si>
    <t>허인기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</si>
  <si>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</si>
  <si>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</si>
  <si>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</si>
  <si>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</si>
  <si>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</si>
  <si>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</si>
  <si>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</si>
  <si>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</si>
  <si>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</si>
  <si>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</si>
  <si>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매출이익 분석</t>
    <phoneticPr fontId="1" type="noConversion"/>
  </si>
  <si>
    <t>상품단가</t>
  </si>
  <si>
    <t>판매수량</t>
  </si>
  <si>
    <t>인건비</t>
  </si>
  <si>
    <t>광고비</t>
  </si>
  <si>
    <t>관리비</t>
  </si>
  <si>
    <t>매출액</t>
  </si>
  <si>
    <t>매출이익</t>
  </si>
  <si>
    <t>영업이익률</t>
  </si>
  <si>
    <t>수출 내역</t>
    <phoneticPr fontId="1" type="noConversion"/>
  </si>
  <si>
    <t>종류</t>
    <phoneticPr fontId="1" type="noConversion"/>
  </si>
  <si>
    <t>단가</t>
  </si>
  <si>
    <t>단가(달러)</t>
    <phoneticPr fontId="1" type="noConversion"/>
  </si>
  <si>
    <t>1사분기
수출량</t>
    <phoneticPr fontId="1" type="noConversion"/>
  </si>
  <si>
    <t>2사분기
수출량</t>
  </si>
  <si>
    <t>단가(원)</t>
    <phoneticPr fontId="1" type="noConversion"/>
  </si>
  <si>
    <t>수출액</t>
    <phoneticPr fontId="1" type="noConversion"/>
  </si>
  <si>
    <t>순위</t>
    <phoneticPr fontId="1" type="noConversion"/>
  </si>
  <si>
    <t>백상지1</t>
  </si>
  <si>
    <t>백상지2</t>
  </si>
  <si>
    <t>아트지</t>
  </si>
  <si>
    <t>판지</t>
  </si>
  <si>
    <t>신문용지</t>
  </si>
  <si>
    <t>감열지</t>
  </si>
  <si>
    <t>골판지1</t>
  </si>
  <si>
    <t>골판지2</t>
  </si>
  <si>
    <t>합계</t>
    <phoneticPr fontId="1" type="noConversion"/>
  </si>
  <si>
    <t>네트워크 장비 판매 내역</t>
    <phoneticPr fontId="1" type="noConversion"/>
  </si>
  <si>
    <t>(단위 : 천원)</t>
    <phoneticPr fontId="1" type="noConversion"/>
  </si>
  <si>
    <t>품목</t>
  </si>
  <si>
    <t>판매액</t>
  </si>
  <si>
    <t>목표량</t>
  </si>
  <si>
    <t>달성율</t>
  </si>
  <si>
    <t>평가</t>
  </si>
  <si>
    <t>스위칭 HUB</t>
  </si>
  <si>
    <t>초과달성</t>
  </si>
  <si>
    <t>더미 HUB</t>
  </si>
  <si>
    <t>RACK</t>
  </si>
  <si>
    <t>목표미달</t>
  </si>
  <si>
    <t>패치패널</t>
  </si>
  <si>
    <t>목표달성</t>
  </si>
  <si>
    <t>UTP케이블</t>
  </si>
  <si>
    <t>LAN카드</t>
  </si>
  <si>
    <t>기록</t>
  </si>
  <si>
    <t>[표2]</t>
    <phoneticPr fontId="1" type="noConversion"/>
  </si>
  <si>
    <t>철인3종 경기 결과</t>
    <phoneticPr fontId="1" type="noConversion"/>
  </si>
  <si>
    <t>선수명</t>
    <phoneticPr fontId="1" type="noConversion"/>
  </si>
  <si>
    <t>신예진</t>
    <phoneticPr fontId="1" type="noConversion"/>
  </si>
  <si>
    <t>이혜랑</t>
    <phoneticPr fontId="1" type="noConversion"/>
  </si>
  <si>
    <t>황가연</t>
    <phoneticPr fontId="1" type="noConversion"/>
  </si>
  <si>
    <t>안희진</t>
    <phoneticPr fontId="1" type="noConversion"/>
  </si>
  <si>
    <t>유솔지</t>
    <phoneticPr fontId="1" type="noConversion"/>
  </si>
  <si>
    <t>김정원</t>
    <phoneticPr fontId="1" type="noConversion"/>
  </si>
  <si>
    <t>조은진</t>
    <phoneticPr fontId="1" type="noConversion"/>
  </si>
  <si>
    <t>이연우</t>
    <phoneticPr fontId="1" type="noConversion"/>
  </si>
  <si>
    <t>지차희</t>
    <phoneticPr fontId="1" type="noConversion"/>
  </si>
  <si>
    <t>배번</t>
    <phoneticPr fontId="1" type="noConversion"/>
  </si>
  <si>
    <t>소속</t>
    <phoneticPr fontId="1" type="noConversion"/>
  </si>
  <si>
    <t>통영시청</t>
    <phoneticPr fontId="1" type="noConversion"/>
  </si>
  <si>
    <t>대전시청</t>
    <phoneticPr fontId="1" type="noConversion"/>
  </si>
  <si>
    <t>서울시청</t>
    <phoneticPr fontId="1" type="noConversion"/>
  </si>
  <si>
    <t>천안시청</t>
    <phoneticPr fontId="1" type="noConversion"/>
  </si>
  <si>
    <t>1위 기록</t>
    <phoneticPr fontId="1" type="noConversion"/>
  </si>
  <si>
    <t>평점분석</t>
  </si>
  <si>
    <t>평점,기준,인원수,누적인원수,누계비율</t>
  </si>
  <si>
    <t>A,95,0,0,0%</t>
  </si>
  <si>
    <t>B,90,1,1,13%</t>
  </si>
  <si>
    <t>C,85,2,3,38%</t>
  </si>
  <si>
    <t>D,80,1,4,50%</t>
  </si>
  <si>
    <t>F,75,4,8,100%</t>
  </si>
  <si>
    <t>합계,,8</t>
  </si>
  <si>
    <t>용지(A4)</t>
    <phoneticPr fontId="1" type="noConversion"/>
  </si>
  <si>
    <t>용지(A3)</t>
    <phoneticPr fontId="1" type="noConversion"/>
  </si>
  <si>
    <t>매입일자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</si>
</sst>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10" fontId="0" fillId="0" borderId="1" xfId="0" applyNumberForma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21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품목별 판매량과 판매액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50</c:v>
                </c:pt>
                <c:pt idx="1">
                  <c:v>250</c:v>
                </c:pt>
                <c:pt idx="2">
                  <c:v>15</c:v>
                </c:pt>
                <c:pt idx="3">
                  <c:v>150</c:v>
                </c:pt>
                <c:pt idx="4">
                  <c:v>154</c:v>
                </c:pt>
                <c:pt idx="5">
                  <c:v>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FB-433D-BFE3-15EC9ADDD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0845743"/>
        <c:axId val="420850543"/>
      </c:barChart>
      <c:catAx>
        <c:axId val="420845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0850543"/>
        <c:crosses val="autoZero"/>
        <c:auto val="1"/>
        <c:lblAlgn val="ctr"/>
        <c:lblOffset val="100"/>
        <c:noMultiLvlLbl val="0"/>
      </c:catAx>
      <c:valAx>
        <c:axId val="42085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0845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7295936-83E3-AD33-7BE3-DFD2948980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B2:G9"/>
  <sheetViews>
    <sheetView tabSelected="1" workbookViewId="0"/>
  </sheetViews>
  <sheetFormatPr defaultRowHeight="17" x14ac:dyDescent="0.45"/>
  <cols>
    <col min="1" max="1" width="3.58203125" customWidth="1"/>
    <col min="2" max="2" width="9.25" bestFit="1" customWidth="1"/>
    <col min="6" max="6" width="10.58203125" bestFit="1" customWidth="1"/>
    <col min="7" max="7" width="12.9140625" bestFit="1" customWidth="1"/>
  </cols>
  <sheetData>
    <row r="2" spans="2:7" x14ac:dyDescent="0.45">
      <c r="B2" t="s">
        <v>0</v>
      </c>
    </row>
    <row r="4" spans="2:7" x14ac:dyDescent="0.45">
      <c r="B4" s="1"/>
      <c r="C4" s="1"/>
      <c r="D4" s="1"/>
      <c r="E4" s="1"/>
      <c r="F4" s="1"/>
      <c r="G4" s="1"/>
    </row>
    <row r="5" spans="2:7" x14ac:dyDescent="0.45">
      <c r="B5" s="1"/>
      <c r="C5" s="1"/>
      <c r="D5" s="1"/>
      <c r="E5" s="1"/>
      <c r="F5" s="2"/>
      <c r="G5" s="1"/>
    </row>
    <row r="6" spans="2:7" x14ac:dyDescent="0.45">
      <c r="B6" s="1"/>
      <c r="C6" s="1"/>
      <c r="D6" s="1"/>
      <c r="E6" s="1"/>
      <c r="F6" s="2"/>
      <c r="G6" s="1"/>
    </row>
    <row r="7" spans="2:7" x14ac:dyDescent="0.45">
      <c r="B7" s="1"/>
      <c r="C7" s="1"/>
      <c r="D7" s="1"/>
      <c r="E7" s="1"/>
      <c r="F7" s="2"/>
      <c r="G7" s="1"/>
    </row>
    <row r="8" spans="2:7" x14ac:dyDescent="0.45">
      <c r="B8" s="1"/>
      <c r="C8" s="1"/>
      <c r="D8" s="1"/>
      <c r="E8" s="1"/>
      <c r="F8" s="2"/>
      <c r="G8" s="1"/>
    </row>
    <row r="9" spans="2:7" x14ac:dyDescent="0.45">
      <c r="B9" s="1"/>
      <c r="C9" s="1"/>
      <c r="D9" s="1"/>
      <c r="E9" s="1"/>
      <c r="F9" s="2"/>
      <c r="G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983EC-51F8-4042-A358-7943F4697D72}">
  <dimension ref="B2:G12"/>
  <sheetViews>
    <sheetView workbookViewId="0"/>
  </sheetViews>
  <sheetFormatPr defaultRowHeight="17" x14ac:dyDescent="0.45"/>
  <cols>
    <col min="2" max="2" width="14.58203125" customWidth="1"/>
    <col min="4" max="4" width="9.08203125" bestFit="1" customWidth="1"/>
    <col min="5" max="5" width="9.33203125" bestFit="1" customWidth="1"/>
    <col min="7" max="7" width="8.9140625" bestFit="1" customWidth="1"/>
  </cols>
  <sheetData>
    <row r="2" spans="2:7" x14ac:dyDescent="0.45">
      <c r="B2" t="s">
        <v>75</v>
      </c>
    </row>
    <row r="4" spans="2:7" x14ac:dyDescent="0.45">
      <c r="B4" s="1" t="s">
        <v>254</v>
      </c>
      <c r="C4" s="1" t="s">
        <v>76</v>
      </c>
      <c r="D4" s="1" t="s">
        <v>77</v>
      </c>
      <c r="E4" s="1" t="s">
        <v>78</v>
      </c>
      <c r="F4" s="1" t="s">
        <v>79</v>
      </c>
      <c r="G4" s="1" t="s">
        <v>2</v>
      </c>
    </row>
    <row r="5" spans="2:7" x14ac:dyDescent="0.45">
      <c r="B5" s="7">
        <v>45566</v>
      </c>
      <c r="C5" s="1" t="s">
        <v>93</v>
      </c>
      <c r="D5" s="2">
        <v>1000</v>
      </c>
      <c r="E5" s="2">
        <v>9000</v>
      </c>
      <c r="F5" s="1" t="s">
        <v>80</v>
      </c>
      <c r="G5" s="1" t="s">
        <v>81</v>
      </c>
    </row>
    <row r="6" spans="2:7" x14ac:dyDescent="0.45">
      <c r="B6" s="7">
        <v>45566</v>
      </c>
      <c r="C6" s="1" t="s">
        <v>82</v>
      </c>
      <c r="D6" s="2">
        <v>1200</v>
      </c>
      <c r="E6" s="2">
        <v>4200</v>
      </c>
      <c r="F6" s="1" t="s">
        <v>83</v>
      </c>
      <c r="G6" s="1" t="s">
        <v>84</v>
      </c>
    </row>
    <row r="7" spans="2:7" x14ac:dyDescent="0.45">
      <c r="B7" s="7">
        <v>45566</v>
      </c>
      <c r="C7" s="1" t="s">
        <v>252</v>
      </c>
      <c r="D7" s="2">
        <v>55000</v>
      </c>
      <c r="E7" s="2">
        <v>105800</v>
      </c>
      <c r="F7" s="1" t="s">
        <v>85</v>
      </c>
      <c r="G7" s="1" t="s">
        <v>86</v>
      </c>
    </row>
    <row r="8" spans="2:7" x14ac:dyDescent="0.45">
      <c r="B8" s="7">
        <v>45570</v>
      </c>
      <c r="C8" s="1" t="s">
        <v>92</v>
      </c>
      <c r="D8" s="2">
        <v>0</v>
      </c>
      <c r="E8" s="2">
        <v>6600</v>
      </c>
      <c r="F8" s="1" t="s">
        <v>87</v>
      </c>
      <c r="G8" s="1" t="s">
        <v>88</v>
      </c>
    </row>
    <row r="9" spans="2:7" x14ac:dyDescent="0.45">
      <c r="B9" s="7">
        <v>45571</v>
      </c>
      <c r="C9" s="1" t="s">
        <v>92</v>
      </c>
      <c r="D9" s="2">
        <v>3000</v>
      </c>
      <c r="E9" s="2">
        <v>3000</v>
      </c>
      <c r="F9" s="1" t="s">
        <v>87</v>
      </c>
      <c r="G9" s="1" t="s">
        <v>88</v>
      </c>
    </row>
    <row r="10" spans="2:7" x14ac:dyDescent="0.45">
      <c r="B10" s="7">
        <v>45571</v>
      </c>
      <c r="C10" s="1" t="s">
        <v>253</v>
      </c>
      <c r="D10" s="2">
        <v>2000</v>
      </c>
      <c r="E10" s="2">
        <v>128500</v>
      </c>
      <c r="F10" s="1" t="s">
        <v>85</v>
      </c>
      <c r="G10" s="1" t="s">
        <v>86</v>
      </c>
    </row>
    <row r="11" spans="2:7" x14ac:dyDescent="0.45">
      <c r="B11" s="7">
        <v>45572</v>
      </c>
      <c r="C11" s="1" t="s">
        <v>89</v>
      </c>
      <c r="D11" s="2">
        <v>15000</v>
      </c>
      <c r="E11" s="2">
        <v>29400</v>
      </c>
      <c r="F11" s="1" t="s">
        <v>90</v>
      </c>
      <c r="G11" s="1" t="s">
        <v>91</v>
      </c>
    </row>
    <row r="12" spans="2:7" x14ac:dyDescent="0.45">
      <c r="B12" s="7">
        <v>45573</v>
      </c>
      <c r="C12" s="1" t="s">
        <v>252</v>
      </c>
      <c r="D12" s="2">
        <v>50000</v>
      </c>
      <c r="E12" s="2">
        <v>116380</v>
      </c>
      <c r="F12" s="1" t="s">
        <v>85</v>
      </c>
      <c r="G12" s="1" t="s">
        <v>86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B1:B9"/>
  <sheetViews>
    <sheetView workbookViewId="0"/>
  </sheetViews>
  <sheetFormatPr defaultRowHeight="17" x14ac:dyDescent="0.45"/>
  <cols>
    <col min="1" max="1" width="3.58203125" customWidth="1"/>
    <col min="5" max="5" width="10.58203125" customWidth="1"/>
  </cols>
  <sheetData>
    <row r="1" spans="2:2" x14ac:dyDescent="0.45">
      <c r="B1" t="s">
        <v>244</v>
      </c>
    </row>
    <row r="3" spans="2:2" x14ac:dyDescent="0.45">
      <c r="B3" t="s">
        <v>245</v>
      </c>
    </row>
    <row r="4" spans="2:2" x14ac:dyDescent="0.45">
      <c r="B4" t="s">
        <v>246</v>
      </c>
    </row>
    <row r="5" spans="2:2" x14ac:dyDescent="0.45">
      <c r="B5" t="s">
        <v>247</v>
      </c>
    </row>
    <row r="6" spans="2:2" x14ac:dyDescent="0.45">
      <c r="B6" t="s">
        <v>248</v>
      </c>
    </row>
    <row r="7" spans="2:2" x14ac:dyDescent="0.45">
      <c r="B7" t="s">
        <v>249</v>
      </c>
    </row>
    <row r="8" spans="2:2" x14ac:dyDescent="0.45">
      <c r="B8" t="s">
        <v>250</v>
      </c>
    </row>
    <row r="9" spans="2:2" x14ac:dyDescent="0.45">
      <c r="B9" t="s">
        <v>251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9FCFE-F4EB-493B-9B85-DA9EEF145B94}">
  <dimension ref="A1:H14"/>
  <sheetViews>
    <sheetView workbookViewId="0">
      <selection sqref="A1:H1"/>
    </sheetView>
  </sheetViews>
  <sheetFormatPr defaultRowHeight="17" x14ac:dyDescent="0.45"/>
  <cols>
    <col min="4" max="4" width="13.9140625" bestFit="1" customWidth="1"/>
  </cols>
  <sheetData>
    <row r="1" spans="1:8" ht="21" x14ac:dyDescent="0.45">
      <c r="A1" s="18" t="s">
        <v>94</v>
      </c>
      <c r="B1" s="18"/>
      <c r="C1" s="18"/>
      <c r="D1" s="18"/>
      <c r="E1" s="18"/>
      <c r="F1" s="18"/>
      <c r="G1" s="18"/>
      <c r="H1" s="18"/>
    </row>
    <row r="3" spans="1:8" x14ac:dyDescent="0.45">
      <c r="A3" s="5" t="s">
        <v>95</v>
      </c>
      <c r="B3" s="5" t="s">
        <v>96</v>
      </c>
      <c r="C3" s="5" t="s">
        <v>97</v>
      </c>
      <c r="D3" s="5" t="s">
        <v>98</v>
      </c>
      <c r="E3" s="5" t="s">
        <v>99</v>
      </c>
      <c r="F3" s="5" t="s">
        <v>47</v>
      </c>
      <c r="G3" s="5" t="s">
        <v>100</v>
      </c>
      <c r="H3" s="5" t="s">
        <v>101</v>
      </c>
    </row>
    <row r="4" spans="1:8" x14ac:dyDescent="0.45">
      <c r="A4" s="5" t="s">
        <v>102</v>
      </c>
      <c r="B4" s="5" t="s">
        <v>103</v>
      </c>
      <c r="C4" s="5" t="s">
        <v>133</v>
      </c>
      <c r="D4" s="5" t="s">
        <v>104</v>
      </c>
      <c r="E4" s="5">
        <v>350</v>
      </c>
      <c r="F4" s="5">
        <v>320</v>
      </c>
      <c r="G4" s="5">
        <v>30</v>
      </c>
      <c r="H4" s="8">
        <v>960</v>
      </c>
    </row>
    <row r="5" spans="1:8" x14ac:dyDescent="0.45">
      <c r="A5" s="5" t="s">
        <v>105</v>
      </c>
      <c r="B5" s="5" t="s">
        <v>106</v>
      </c>
      <c r="C5" s="5" t="s">
        <v>107</v>
      </c>
      <c r="D5" s="5" t="s">
        <v>108</v>
      </c>
      <c r="E5" s="5">
        <v>400</v>
      </c>
      <c r="F5" s="5">
        <v>380</v>
      </c>
      <c r="G5" s="5">
        <v>20</v>
      </c>
      <c r="H5" s="8">
        <v>1140</v>
      </c>
    </row>
    <row r="6" spans="1:8" x14ac:dyDescent="0.45">
      <c r="A6" s="5" t="s">
        <v>109</v>
      </c>
      <c r="B6" s="5" t="s">
        <v>110</v>
      </c>
      <c r="C6" s="5" t="s">
        <v>128</v>
      </c>
      <c r="D6" s="5" t="s">
        <v>111</v>
      </c>
      <c r="E6" s="5">
        <v>450</v>
      </c>
      <c r="F6" s="5">
        <v>420</v>
      </c>
      <c r="G6" s="5">
        <v>30</v>
      </c>
      <c r="H6" s="8">
        <v>1260</v>
      </c>
    </row>
    <row r="7" spans="1:8" x14ac:dyDescent="0.45">
      <c r="A7" s="5" t="s">
        <v>112</v>
      </c>
      <c r="B7" s="5" t="s">
        <v>113</v>
      </c>
      <c r="C7" s="5" t="s">
        <v>114</v>
      </c>
      <c r="D7" s="5" t="s">
        <v>115</v>
      </c>
      <c r="E7" s="5">
        <v>300</v>
      </c>
      <c r="F7" s="5">
        <v>290</v>
      </c>
      <c r="G7" s="5">
        <v>10</v>
      </c>
      <c r="H7" s="8">
        <v>870</v>
      </c>
    </row>
    <row r="8" spans="1:8" x14ac:dyDescent="0.45">
      <c r="A8" s="5" t="s">
        <v>116</v>
      </c>
      <c r="B8" s="5" t="s">
        <v>117</v>
      </c>
      <c r="C8" s="5" t="s">
        <v>118</v>
      </c>
      <c r="D8" s="5" t="s">
        <v>119</v>
      </c>
      <c r="E8" s="5">
        <v>200</v>
      </c>
      <c r="F8" s="5">
        <v>175</v>
      </c>
      <c r="G8" s="5">
        <v>25</v>
      </c>
      <c r="H8" s="8">
        <v>525</v>
      </c>
    </row>
    <row r="9" spans="1:8" x14ac:dyDescent="0.45">
      <c r="A9" s="5" t="s">
        <v>102</v>
      </c>
      <c r="B9" s="5" t="s">
        <v>103</v>
      </c>
      <c r="C9" s="5" t="s">
        <v>130</v>
      </c>
      <c r="D9" s="5" t="s">
        <v>120</v>
      </c>
      <c r="E9" s="5">
        <v>250</v>
      </c>
      <c r="F9" s="5">
        <v>230</v>
      </c>
      <c r="G9" s="5">
        <v>20</v>
      </c>
      <c r="H9" s="8">
        <v>690</v>
      </c>
    </row>
    <row r="10" spans="1:8" x14ac:dyDescent="0.45">
      <c r="A10" s="5" t="s">
        <v>105</v>
      </c>
      <c r="B10" s="5" t="s">
        <v>106</v>
      </c>
      <c r="C10" s="5" t="s">
        <v>121</v>
      </c>
      <c r="D10" s="5" t="s">
        <v>122</v>
      </c>
      <c r="E10" s="5">
        <v>250</v>
      </c>
      <c r="F10" s="5">
        <v>220</v>
      </c>
      <c r="G10" s="5">
        <v>30</v>
      </c>
      <c r="H10" s="8">
        <v>660</v>
      </c>
    </row>
    <row r="11" spans="1:8" x14ac:dyDescent="0.45">
      <c r="A11" s="5" t="s">
        <v>109</v>
      </c>
      <c r="B11" s="5" t="s">
        <v>110</v>
      </c>
      <c r="C11" s="5" t="s">
        <v>131</v>
      </c>
      <c r="D11" s="5" t="s">
        <v>123</v>
      </c>
      <c r="E11" s="5">
        <v>250</v>
      </c>
      <c r="F11" s="5">
        <v>230</v>
      </c>
      <c r="G11" s="5">
        <v>20</v>
      </c>
      <c r="H11" s="8">
        <v>690</v>
      </c>
    </row>
    <row r="12" spans="1:8" x14ac:dyDescent="0.45">
      <c r="A12" s="5" t="s">
        <v>112</v>
      </c>
      <c r="B12" s="5" t="s">
        <v>113</v>
      </c>
      <c r="C12" s="5" t="s">
        <v>124</v>
      </c>
      <c r="D12" s="5" t="s">
        <v>125</v>
      </c>
      <c r="E12" s="5">
        <v>200</v>
      </c>
      <c r="F12" s="5">
        <v>185</v>
      </c>
      <c r="G12" s="5">
        <v>15</v>
      </c>
      <c r="H12" s="8">
        <v>555</v>
      </c>
    </row>
    <row r="13" spans="1:8" x14ac:dyDescent="0.45">
      <c r="A13" s="5" t="s">
        <v>116</v>
      </c>
      <c r="B13" s="5" t="s">
        <v>117</v>
      </c>
      <c r="C13" s="5" t="s">
        <v>132</v>
      </c>
      <c r="D13" s="5" t="s">
        <v>126</v>
      </c>
      <c r="E13" s="5">
        <v>150</v>
      </c>
      <c r="F13" s="5">
        <v>140</v>
      </c>
      <c r="G13" s="5">
        <v>10</v>
      </c>
      <c r="H13" s="8">
        <v>420</v>
      </c>
    </row>
    <row r="14" spans="1:8" x14ac:dyDescent="0.45">
      <c r="A14" s="5" t="s">
        <v>102</v>
      </c>
      <c r="B14" s="5" t="s">
        <v>103</v>
      </c>
      <c r="C14" s="5" t="s">
        <v>129</v>
      </c>
      <c r="D14" s="5" t="s">
        <v>127</v>
      </c>
      <c r="E14" s="5">
        <v>200</v>
      </c>
      <c r="F14" s="5">
        <v>170</v>
      </c>
      <c r="G14" s="5">
        <v>30</v>
      </c>
      <c r="H14" s="8">
        <v>510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I34"/>
  <sheetViews>
    <sheetView workbookViewId="0"/>
  </sheetViews>
  <sheetFormatPr defaultRowHeight="17" x14ac:dyDescent="0.45"/>
  <cols>
    <col min="2" max="2" width="10.25" bestFit="1" customWidth="1"/>
    <col min="4" max="4" width="10.4140625" bestFit="1" customWidth="1"/>
    <col min="7" max="7" width="8.6640625" customWidth="1"/>
  </cols>
  <sheetData>
    <row r="1" spans="1:9" x14ac:dyDescent="0.45">
      <c r="A1" s="3" t="s">
        <v>4</v>
      </c>
      <c r="B1" s="4" t="s">
        <v>5</v>
      </c>
      <c r="F1" s="3" t="s">
        <v>225</v>
      </c>
      <c r="G1" s="4" t="s">
        <v>226</v>
      </c>
    </row>
    <row r="2" spans="1:9" x14ac:dyDescent="0.45">
      <c r="A2" s="5" t="s">
        <v>1</v>
      </c>
      <c r="B2" s="5" t="s">
        <v>6</v>
      </c>
      <c r="C2" s="5" t="s">
        <v>7</v>
      </c>
      <c r="D2" s="5" t="s">
        <v>8</v>
      </c>
      <c r="F2" s="5" t="s">
        <v>227</v>
      </c>
      <c r="G2" s="5" t="s">
        <v>237</v>
      </c>
      <c r="H2" s="5" t="s">
        <v>238</v>
      </c>
      <c r="I2" s="5" t="s">
        <v>224</v>
      </c>
    </row>
    <row r="3" spans="1:9" x14ac:dyDescent="0.45">
      <c r="A3" s="5" t="s">
        <v>9</v>
      </c>
      <c r="B3" s="5" t="s">
        <v>10</v>
      </c>
      <c r="C3" s="5" t="s">
        <v>11</v>
      </c>
      <c r="D3" s="5">
        <v>70.900000000000006</v>
      </c>
      <c r="F3" s="5" t="s">
        <v>228</v>
      </c>
      <c r="G3" s="5">
        <v>15</v>
      </c>
      <c r="H3" s="5" t="s">
        <v>239</v>
      </c>
      <c r="I3" s="17">
        <v>4.7037037037037037E-2</v>
      </c>
    </row>
    <row r="4" spans="1:9" x14ac:dyDescent="0.45">
      <c r="A4" s="5" t="s">
        <v>12</v>
      </c>
      <c r="B4" s="5" t="s">
        <v>13</v>
      </c>
      <c r="C4" s="5" t="s">
        <v>14</v>
      </c>
      <c r="D4" s="5">
        <v>77.2</v>
      </c>
      <c r="F4" s="5" t="s">
        <v>229</v>
      </c>
      <c r="G4" s="5">
        <v>6</v>
      </c>
      <c r="H4" s="5" t="s">
        <v>240</v>
      </c>
      <c r="I4" s="17">
        <v>5.1157407407407408E-2</v>
      </c>
    </row>
    <row r="5" spans="1:9" x14ac:dyDescent="0.45">
      <c r="A5" s="5" t="s">
        <v>15</v>
      </c>
      <c r="B5" s="5" t="s">
        <v>10</v>
      </c>
      <c r="C5" s="5" t="s">
        <v>11</v>
      </c>
      <c r="D5" s="5">
        <v>90.6</v>
      </c>
      <c r="F5" s="5" t="s">
        <v>230</v>
      </c>
      <c r="G5" s="5">
        <v>27</v>
      </c>
      <c r="H5" s="5" t="s">
        <v>241</v>
      </c>
      <c r="I5" s="17">
        <v>4.5902777777777772E-2</v>
      </c>
    </row>
    <row r="6" spans="1:9" x14ac:dyDescent="0.45">
      <c r="A6" s="5" t="s">
        <v>16</v>
      </c>
      <c r="B6" s="5" t="s">
        <v>13</v>
      </c>
      <c r="C6" s="5" t="s">
        <v>14</v>
      </c>
      <c r="D6" s="5">
        <v>92.4</v>
      </c>
      <c r="F6" s="5" t="s">
        <v>231</v>
      </c>
      <c r="G6" s="5">
        <v>65</v>
      </c>
      <c r="H6" s="5" t="s">
        <v>242</v>
      </c>
      <c r="I6" s="17">
        <v>4.8067129629629633E-2</v>
      </c>
    </row>
    <row r="7" spans="1:9" x14ac:dyDescent="0.45">
      <c r="A7" s="5" t="s">
        <v>17</v>
      </c>
      <c r="B7" s="5" t="s">
        <v>13</v>
      </c>
      <c r="C7" s="5" t="s">
        <v>11</v>
      </c>
      <c r="D7" s="5">
        <v>88.7</v>
      </c>
      <c r="F7" s="5" t="s">
        <v>232</v>
      </c>
      <c r="G7" s="5">
        <v>24</v>
      </c>
      <c r="H7" s="5" t="s">
        <v>242</v>
      </c>
      <c r="I7" s="17">
        <v>4.9756944444444444E-2</v>
      </c>
    </row>
    <row r="8" spans="1:9" x14ac:dyDescent="0.45">
      <c r="A8" s="5" t="s">
        <v>18</v>
      </c>
      <c r="B8" s="5" t="s">
        <v>10</v>
      </c>
      <c r="C8" s="5" t="s">
        <v>14</v>
      </c>
      <c r="D8" s="5">
        <v>80.3</v>
      </c>
      <c r="F8" s="5" t="s">
        <v>233</v>
      </c>
      <c r="G8" s="5">
        <v>33</v>
      </c>
      <c r="H8" s="5" t="s">
        <v>241</v>
      </c>
      <c r="I8" s="17">
        <v>4.6446759259259257E-2</v>
      </c>
    </row>
    <row r="9" spans="1:9" x14ac:dyDescent="0.45">
      <c r="A9" s="5" t="s">
        <v>19</v>
      </c>
      <c r="B9" s="5" t="s">
        <v>10</v>
      </c>
      <c r="C9" s="5" t="s">
        <v>11</v>
      </c>
      <c r="D9" s="5">
        <v>95.3</v>
      </c>
      <c r="F9" s="5" t="s">
        <v>234</v>
      </c>
      <c r="G9" s="5">
        <v>9</v>
      </c>
      <c r="H9" s="5" t="s">
        <v>240</v>
      </c>
      <c r="I9" s="17">
        <v>5.0104166666666672E-2</v>
      </c>
    </row>
    <row r="10" spans="1:9" x14ac:dyDescent="0.45">
      <c r="F10" s="5" t="s">
        <v>235</v>
      </c>
      <c r="G10" s="5">
        <v>31</v>
      </c>
      <c r="H10" s="5" t="s">
        <v>239</v>
      </c>
      <c r="I10" s="17">
        <v>5.1840277777777777E-2</v>
      </c>
    </row>
    <row r="11" spans="1:9" x14ac:dyDescent="0.45">
      <c r="A11" s="5"/>
      <c r="B11" s="5"/>
      <c r="C11" s="21" t="s">
        <v>20</v>
      </c>
      <c r="D11" s="22"/>
      <c r="F11" s="5" t="s">
        <v>236</v>
      </c>
      <c r="G11" s="5">
        <v>57</v>
      </c>
      <c r="H11" s="5" t="s">
        <v>241</v>
      </c>
      <c r="I11" s="17">
        <v>4.927083333333334E-2</v>
      </c>
    </row>
    <row r="12" spans="1:9" x14ac:dyDescent="0.45">
      <c r="A12" s="5"/>
      <c r="B12" s="5"/>
      <c r="C12" s="19"/>
      <c r="D12" s="20"/>
      <c r="F12" s="21" t="s">
        <v>243</v>
      </c>
      <c r="G12" s="22"/>
      <c r="H12" s="19"/>
      <c r="I12" s="20"/>
    </row>
    <row r="14" spans="1:9" x14ac:dyDescent="0.45">
      <c r="A14" s="3" t="s">
        <v>21</v>
      </c>
      <c r="B14" s="4" t="s">
        <v>22</v>
      </c>
      <c r="E14" s="3" t="s">
        <v>42</v>
      </c>
      <c r="F14" s="4" t="s">
        <v>43</v>
      </c>
    </row>
    <row r="15" spans="1:9" x14ac:dyDescent="0.45">
      <c r="A15" s="5" t="s">
        <v>23</v>
      </c>
      <c r="B15" s="5" t="s">
        <v>24</v>
      </c>
      <c r="C15" s="6" t="s">
        <v>25</v>
      </c>
      <c r="E15" s="5" t="s">
        <v>44</v>
      </c>
      <c r="F15" s="5" t="s">
        <v>45</v>
      </c>
      <c r="G15" s="5" t="s">
        <v>46</v>
      </c>
      <c r="H15" s="5" t="s">
        <v>47</v>
      </c>
    </row>
    <row r="16" spans="1:9" x14ac:dyDescent="0.45">
      <c r="A16" s="5" t="s">
        <v>26</v>
      </c>
      <c r="B16" s="16" t="s">
        <v>34</v>
      </c>
      <c r="C16" s="5"/>
      <c r="E16" s="5" t="s">
        <v>48</v>
      </c>
      <c r="F16" s="5" t="s">
        <v>49</v>
      </c>
      <c r="G16" s="5" t="s">
        <v>50</v>
      </c>
      <c r="H16" s="5">
        <v>624</v>
      </c>
    </row>
    <row r="17" spans="1:8" x14ac:dyDescent="0.45">
      <c r="A17" s="5" t="s">
        <v>27</v>
      </c>
      <c r="B17" s="16" t="s">
        <v>35</v>
      </c>
      <c r="C17" s="5"/>
      <c r="E17" s="5" t="s">
        <v>51</v>
      </c>
      <c r="F17" s="5" t="s">
        <v>52</v>
      </c>
      <c r="G17" s="5" t="s">
        <v>50</v>
      </c>
      <c r="H17" s="5">
        <v>756</v>
      </c>
    </row>
    <row r="18" spans="1:8" x14ac:dyDescent="0.45">
      <c r="A18" s="5" t="s">
        <v>28</v>
      </c>
      <c r="B18" s="16" t="s">
        <v>36</v>
      </c>
      <c r="C18" s="5"/>
      <c r="E18" s="5" t="s">
        <v>53</v>
      </c>
      <c r="F18" s="5" t="s">
        <v>49</v>
      </c>
      <c r="G18" s="5" t="s">
        <v>54</v>
      </c>
      <c r="H18" s="5">
        <v>959</v>
      </c>
    </row>
    <row r="19" spans="1:8" x14ac:dyDescent="0.45">
      <c r="A19" s="5" t="s">
        <v>29</v>
      </c>
      <c r="B19" s="16" t="s">
        <v>37</v>
      </c>
      <c r="C19" s="5"/>
      <c r="E19" s="5" t="s">
        <v>55</v>
      </c>
      <c r="F19" s="5" t="s">
        <v>49</v>
      </c>
      <c r="G19" s="5" t="s">
        <v>54</v>
      </c>
      <c r="H19" s="5">
        <v>812</v>
      </c>
    </row>
    <row r="20" spans="1:8" x14ac:dyDescent="0.45">
      <c r="A20" s="5" t="s">
        <v>30</v>
      </c>
      <c r="B20" s="16" t="s">
        <v>38</v>
      </c>
      <c r="C20" s="5"/>
      <c r="E20" s="5" t="s">
        <v>56</v>
      </c>
      <c r="F20" s="5" t="s">
        <v>52</v>
      </c>
      <c r="G20" s="5" t="s">
        <v>54</v>
      </c>
      <c r="H20" s="5">
        <v>507</v>
      </c>
    </row>
    <row r="21" spans="1:8" x14ac:dyDescent="0.45">
      <c r="A21" s="5" t="s">
        <v>31</v>
      </c>
      <c r="B21" s="16" t="s">
        <v>39</v>
      </c>
      <c r="C21" s="5"/>
      <c r="E21" s="5" t="s">
        <v>57</v>
      </c>
      <c r="F21" s="5" t="s">
        <v>52</v>
      </c>
      <c r="G21" s="5" t="s">
        <v>54</v>
      </c>
      <c r="H21" s="5">
        <v>682</v>
      </c>
    </row>
    <row r="22" spans="1:8" x14ac:dyDescent="0.45">
      <c r="A22" s="5" t="s">
        <v>32</v>
      </c>
      <c r="B22" s="16" t="s">
        <v>40</v>
      </c>
      <c r="C22" s="5"/>
      <c r="E22" s="5" t="s">
        <v>58</v>
      </c>
      <c r="F22" s="5" t="s">
        <v>49</v>
      </c>
      <c r="G22" s="5" t="s">
        <v>59</v>
      </c>
      <c r="H22" s="5">
        <v>877</v>
      </c>
    </row>
    <row r="23" spans="1:8" x14ac:dyDescent="0.45">
      <c r="A23" s="5" t="s">
        <v>33</v>
      </c>
      <c r="B23" s="16" t="s">
        <v>41</v>
      </c>
      <c r="C23" s="5"/>
      <c r="E23" s="5" t="s">
        <v>60</v>
      </c>
      <c r="F23" s="5" t="s">
        <v>52</v>
      </c>
      <c r="G23" s="5" t="s">
        <v>59</v>
      </c>
      <c r="H23" s="5">
        <v>860</v>
      </c>
    </row>
    <row r="24" spans="1:8" x14ac:dyDescent="0.45">
      <c r="E24" s="21" t="s">
        <v>61</v>
      </c>
      <c r="F24" s="23"/>
      <c r="G24" s="22"/>
      <c r="H24" s="5"/>
    </row>
    <row r="25" spans="1:8" x14ac:dyDescent="0.45">
      <c r="A25" s="3" t="s">
        <v>62</v>
      </c>
      <c r="B25" s="4" t="s">
        <v>63</v>
      </c>
    </row>
    <row r="26" spans="1:8" x14ac:dyDescent="0.45">
      <c r="A26" s="5" t="s">
        <v>64</v>
      </c>
      <c r="B26" s="5" t="s">
        <v>65</v>
      </c>
      <c r="C26" s="5" t="s">
        <v>66</v>
      </c>
      <c r="D26" s="6" t="s">
        <v>67</v>
      </c>
    </row>
    <row r="27" spans="1:8" x14ac:dyDescent="0.45">
      <c r="A27" s="5" t="s">
        <v>68</v>
      </c>
      <c r="B27" s="5">
        <v>1.76</v>
      </c>
      <c r="C27" s="5">
        <v>75</v>
      </c>
      <c r="D27" s="5"/>
    </row>
    <row r="28" spans="1:8" x14ac:dyDescent="0.45">
      <c r="A28" s="5" t="s">
        <v>69</v>
      </c>
      <c r="B28" s="5">
        <v>1.68</v>
      </c>
      <c r="C28" s="5">
        <v>78</v>
      </c>
      <c r="D28" s="5"/>
    </row>
    <row r="29" spans="1:8" x14ac:dyDescent="0.45">
      <c r="A29" s="5" t="s">
        <v>70</v>
      </c>
      <c r="B29" s="5">
        <v>1.61</v>
      </c>
      <c r="C29" s="5">
        <v>50</v>
      </c>
      <c r="D29" s="5"/>
    </row>
    <row r="30" spans="1:8" x14ac:dyDescent="0.45">
      <c r="A30" s="5" t="s">
        <v>71</v>
      </c>
      <c r="B30" s="5">
        <v>1.73</v>
      </c>
      <c r="C30" s="5">
        <v>70</v>
      </c>
      <c r="D30" s="5"/>
    </row>
    <row r="31" spans="1:8" x14ac:dyDescent="0.45">
      <c r="A31" s="5" t="s">
        <v>33</v>
      </c>
      <c r="B31" s="5">
        <v>1.64</v>
      </c>
      <c r="C31" s="5">
        <v>71</v>
      </c>
      <c r="D31" s="5"/>
    </row>
    <row r="32" spans="1:8" x14ac:dyDescent="0.45">
      <c r="A32" s="5" t="s">
        <v>72</v>
      </c>
      <c r="B32" s="5">
        <v>1.58</v>
      </c>
      <c r="C32" s="5">
        <v>51</v>
      </c>
      <c r="D32" s="5"/>
    </row>
    <row r="33" spans="1:4" x14ac:dyDescent="0.45">
      <c r="A33" s="5" t="s">
        <v>73</v>
      </c>
      <c r="B33" s="5">
        <v>1.71</v>
      </c>
      <c r="C33" s="5">
        <v>65</v>
      </c>
      <c r="D33" s="5"/>
    </row>
    <row r="34" spans="1:4" x14ac:dyDescent="0.45">
      <c r="A34" s="5" t="s">
        <v>74</v>
      </c>
      <c r="B34" s="5">
        <v>1.83</v>
      </c>
      <c r="C34" s="5">
        <v>70</v>
      </c>
      <c r="D34" s="5"/>
    </row>
  </sheetData>
  <mergeCells count="5">
    <mergeCell ref="H12:I12"/>
    <mergeCell ref="C12:D12"/>
    <mergeCell ref="C11:D11"/>
    <mergeCell ref="E24:G24"/>
    <mergeCell ref="F12:G1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F18"/>
  <sheetViews>
    <sheetView workbookViewId="0">
      <selection sqref="A1:F1"/>
    </sheetView>
  </sheetViews>
  <sheetFormatPr defaultRowHeight="17" x14ac:dyDescent="0.45"/>
  <cols>
    <col min="5" max="5" width="11.6640625" customWidth="1"/>
    <col min="6" max="6" width="9.33203125" bestFit="1" customWidth="1"/>
  </cols>
  <sheetData>
    <row r="1" spans="1:6" ht="21" x14ac:dyDescent="0.45">
      <c r="A1" s="18" t="s">
        <v>134</v>
      </c>
      <c r="B1" s="18"/>
      <c r="C1" s="18"/>
      <c r="D1" s="18"/>
      <c r="E1" s="18"/>
      <c r="F1" s="18"/>
    </row>
    <row r="3" spans="1:6" x14ac:dyDescent="0.45">
      <c r="A3" s="5" t="s">
        <v>1</v>
      </c>
      <c r="B3" s="5" t="s">
        <v>6</v>
      </c>
      <c r="C3" s="5" t="s">
        <v>135</v>
      </c>
      <c r="D3" s="5" t="s">
        <v>46</v>
      </c>
      <c r="E3" s="5" t="s">
        <v>136</v>
      </c>
      <c r="F3" s="5" t="s">
        <v>137</v>
      </c>
    </row>
    <row r="4" spans="1:6" x14ac:dyDescent="0.45">
      <c r="A4" s="5" t="s">
        <v>138</v>
      </c>
      <c r="B4" s="5" t="s">
        <v>13</v>
      </c>
      <c r="C4" s="5" t="s">
        <v>3</v>
      </c>
      <c r="D4" s="5" t="s">
        <v>54</v>
      </c>
      <c r="E4" s="8">
        <v>950000</v>
      </c>
      <c r="F4" s="8">
        <v>420000</v>
      </c>
    </row>
    <row r="5" spans="1:6" x14ac:dyDescent="0.45">
      <c r="A5" s="5" t="s">
        <v>139</v>
      </c>
      <c r="B5" s="5" t="s">
        <v>10</v>
      </c>
      <c r="C5" s="5" t="s">
        <v>140</v>
      </c>
      <c r="D5" s="5" t="s">
        <v>141</v>
      </c>
      <c r="E5" s="8">
        <v>3500000</v>
      </c>
      <c r="F5" s="8">
        <v>540000</v>
      </c>
    </row>
    <row r="6" spans="1:6" x14ac:dyDescent="0.45">
      <c r="A6" s="5" t="s">
        <v>142</v>
      </c>
      <c r="B6" s="5" t="s">
        <v>13</v>
      </c>
      <c r="C6" s="5" t="s">
        <v>140</v>
      </c>
      <c r="D6" s="5" t="s">
        <v>50</v>
      </c>
      <c r="E6" s="8">
        <v>2100000</v>
      </c>
      <c r="F6" s="8">
        <v>423000</v>
      </c>
    </row>
    <row r="7" spans="1:6" x14ac:dyDescent="0.45">
      <c r="A7" s="5" t="s">
        <v>143</v>
      </c>
      <c r="B7" s="5" t="s">
        <v>10</v>
      </c>
      <c r="C7" s="5" t="s">
        <v>3</v>
      </c>
      <c r="D7" s="5" t="s">
        <v>54</v>
      </c>
      <c r="E7" s="8">
        <v>1250000</v>
      </c>
      <c r="F7" s="8">
        <v>145000</v>
      </c>
    </row>
    <row r="8" spans="1:6" x14ac:dyDescent="0.45">
      <c r="A8" s="5" t="s">
        <v>144</v>
      </c>
      <c r="B8" s="5" t="s">
        <v>10</v>
      </c>
      <c r="C8" s="5" t="s">
        <v>145</v>
      </c>
      <c r="D8" s="5" t="s">
        <v>54</v>
      </c>
      <c r="E8" s="8">
        <v>1350000</v>
      </c>
      <c r="F8" s="8">
        <v>323000</v>
      </c>
    </row>
    <row r="9" spans="1:6" x14ac:dyDescent="0.45">
      <c r="A9" s="5" t="s">
        <v>146</v>
      </c>
      <c r="B9" s="5" t="s">
        <v>13</v>
      </c>
      <c r="C9" s="5" t="s">
        <v>3</v>
      </c>
      <c r="D9" s="5" t="s">
        <v>54</v>
      </c>
      <c r="E9" s="8">
        <v>1300000</v>
      </c>
      <c r="F9" s="8">
        <v>530000</v>
      </c>
    </row>
    <row r="10" spans="1:6" x14ac:dyDescent="0.45">
      <c r="A10" s="5" t="s">
        <v>147</v>
      </c>
      <c r="B10" s="5" t="s">
        <v>10</v>
      </c>
      <c r="C10" s="5" t="s">
        <v>3</v>
      </c>
      <c r="D10" s="5" t="s">
        <v>54</v>
      </c>
      <c r="E10" s="8">
        <v>1400000</v>
      </c>
      <c r="F10" s="8">
        <v>789000</v>
      </c>
    </row>
    <row r="11" spans="1:6" x14ac:dyDescent="0.45">
      <c r="A11" s="5" t="s">
        <v>148</v>
      </c>
      <c r="B11" s="5" t="s">
        <v>10</v>
      </c>
      <c r="C11" s="5" t="s">
        <v>3</v>
      </c>
      <c r="D11" s="5" t="s">
        <v>59</v>
      </c>
      <c r="E11" s="8">
        <v>950000</v>
      </c>
      <c r="F11" s="8">
        <v>856000</v>
      </c>
    </row>
    <row r="12" spans="1:6" x14ac:dyDescent="0.45">
      <c r="A12" s="5" t="s">
        <v>149</v>
      </c>
      <c r="B12" s="5" t="s">
        <v>10</v>
      </c>
      <c r="C12" s="5" t="s">
        <v>140</v>
      </c>
      <c r="D12" s="5" t="s">
        <v>54</v>
      </c>
      <c r="E12" s="8">
        <v>1350000</v>
      </c>
      <c r="F12" s="8">
        <v>756000</v>
      </c>
    </row>
    <row r="13" spans="1:6" x14ac:dyDescent="0.45">
      <c r="A13" s="5" t="s">
        <v>150</v>
      </c>
      <c r="B13" s="5" t="s">
        <v>10</v>
      </c>
      <c r="C13" s="5" t="s">
        <v>140</v>
      </c>
      <c r="D13" s="5" t="s">
        <v>54</v>
      </c>
      <c r="E13" s="8">
        <v>1500000</v>
      </c>
      <c r="F13" s="8">
        <v>752000</v>
      </c>
    </row>
    <row r="14" spans="1:6" x14ac:dyDescent="0.45">
      <c r="A14" s="5" t="s">
        <v>151</v>
      </c>
      <c r="B14" s="5" t="s">
        <v>10</v>
      </c>
      <c r="C14" s="5" t="s">
        <v>140</v>
      </c>
      <c r="D14" s="5" t="s">
        <v>141</v>
      </c>
      <c r="E14" s="8">
        <v>3300000</v>
      </c>
      <c r="F14" s="8">
        <v>247000</v>
      </c>
    </row>
    <row r="15" spans="1:6" x14ac:dyDescent="0.45">
      <c r="A15" s="5" t="s">
        <v>152</v>
      </c>
      <c r="B15" s="5" t="s">
        <v>10</v>
      </c>
      <c r="C15" s="5" t="s">
        <v>3</v>
      </c>
      <c r="D15" s="5" t="s">
        <v>50</v>
      </c>
      <c r="E15" s="8">
        <v>1800000</v>
      </c>
      <c r="F15" s="8">
        <v>530000</v>
      </c>
    </row>
    <row r="16" spans="1:6" x14ac:dyDescent="0.45">
      <c r="A16" s="5" t="s">
        <v>153</v>
      </c>
      <c r="B16" s="5" t="s">
        <v>10</v>
      </c>
      <c r="C16" s="5" t="s">
        <v>3</v>
      </c>
      <c r="D16" s="5" t="s">
        <v>141</v>
      </c>
      <c r="E16" s="8">
        <v>2550000</v>
      </c>
      <c r="F16" s="8">
        <v>420000</v>
      </c>
    </row>
    <row r="17" spans="1:6" x14ac:dyDescent="0.45">
      <c r="A17" s="5" t="s">
        <v>154</v>
      </c>
      <c r="B17" s="5" t="s">
        <v>13</v>
      </c>
      <c r="C17" s="5" t="s">
        <v>145</v>
      </c>
      <c r="D17" s="5" t="s">
        <v>141</v>
      </c>
      <c r="E17" s="8">
        <v>2400000</v>
      </c>
      <c r="F17" s="8">
        <v>782000</v>
      </c>
    </row>
    <row r="18" spans="1:6" x14ac:dyDescent="0.45">
      <c r="A18" s="5" t="s">
        <v>155</v>
      </c>
      <c r="B18" s="5" t="s">
        <v>13</v>
      </c>
      <c r="C18" s="5" t="s">
        <v>140</v>
      </c>
      <c r="D18" s="5" t="s">
        <v>54</v>
      </c>
      <c r="E18" s="8">
        <v>1300000</v>
      </c>
      <c r="F18" s="8">
        <v>420000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I12"/>
  <sheetViews>
    <sheetView workbookViewId="0">
      <selection sqref="A1:I1"/>
    </sheetView>
  </sheetViews>
  <sheetFormatPr defaultRowHeight="17" x14ac:dyDescent="0.45"/>
  <cols>
    <col min="6" max="6" width="10.58203125" bestFit="1" customWidth="1"/>
    <col min="7" max="8" width="9.08203125" bestFit="1" customWidth="1"/>
    <col min="9" max="9" width="10.58203125" bestFit="1" customWidth="1"/>
  </cols>
  <sheetData>
    <row r="1" spans="1:9" ht="21" x14ac:dyDescent="0.45">
      <c r="A1" s="18" t="s">
        <v>156</v>
      </c>
      <c r="B1" s="18"/>
      <c r="C1" s="18"/>
      <c r="D1" s="18"/>
      <c r="E1" s="18"/>
      <c r="F1" s="18"/>
      <c r="G1" s="18"/>
      <c r="H1" s="18"/>
      <c r="I1" s="18"/>
    </row>
    <row r="3" spans="1:9" x14ac:dyDescent="0.45">
      <c r="A3" s="5" t="s">
        <v>157</v>
      </c>
      <c r="B3" s="5" t="s">
        <v>64</v>
      </c>
      <c r="C3" s="5" t="s">
        <v>45</v>
      </c>
      <c r="D3" s="5" t="s">
        <v>46</v>
      </c>
      <c r="E3" s="5" t="s">
        <v>158</v>
      </c>
      <c r="F3" s="5" t="s">
        <v>159</v>
      </c>
      <c r="G3" s="5" t="s">
        <v>137</v>
      </c>
      <c r="H3" s="5" t="s">
        <v>160</v>
      </c>
      <c r="I3" s="5" t="s">
        <v>161</v>
      </c>
    </row>
    <row r="4" spans="1:9" x14ac:dyDescent="0.45">
      <c r="A4" s="5" t="s">
        <v>162</v>
      </c>
      <c r="B4" s="5" t="s">
        <v>163</v>
      </c>
      <c r="C4" s="5" t="s">
        <v>164</v>
      </c>
      <c r="D4" s="5" t="s">
        <v>141</v>
      </c>
      <c r="E4" s="5">
        <v>16</v>
      </c>
      <c r="F4" s="8">
        <v>1600000</v>
      </c>
      <c r="G4" s="8">
        <v>480000</v>
      </c>
      <c r="H4" s="8">
        <v>208000</v>
      </c>
      <c r="I4" s="8">
        <v>2288000</v>
      </c>
    </row>
    <row r="5" spans="1:9" x14ac:dyDescent="0.45">
      <c r="A5" s="5" t="s">
        <v>165</v>
      </c>
      <c r="B5" s="5" t="s">
        <v>166</v>
      </c>
      <c r="C5" s="5" t="s">
        <v>140</v>
      </c>
      <c r="D5" s="5" t="s">
        <v>50</v>
      </c>
      <c r="E5" s="5">
        <v>9</v>
      </c>
      <c r="F5" s="8">
        <v>1250000</v>
      </c>
      <c r="G5" s="8">
        <v>375000</v>
      </c>
      <c r="H5" s="8">
        <v>62500</v>
      </c>
      <c r="I5" s="8">
        <v>1687500</v>
      </c>
    </row>
    <row r="6" spans="1:9" x14ac:dyDescent="0.45">
      <c r="A6" s="5" t="s">
        <v>167</v>
      </c>
      <c r="B6" s="5" t="s">
        <v>168</v>
      </c>
      <c r="C6" s="5" t="s">
        <v>164</v>
      </c>
      <c r="D6" s="5" t="s">
        <v>54</v>
      </c>
      <c r="E6" s="5">
        <v>4</v>
      </c>
      <c r="F6" s="8">
        <v>1000000</v>
      </c>
      <c r="G6" s="8">
        <v>200000</v>
      </c>
      <c r="H6" s="8">
        <v>20000</v>
      </c>
      <c r="I6" s="8">
        <v>1220000</v>
      </c>
    </row>
    <row r="7" spans="1:9" x14ac:dyDescent="0.45">
      <c r="A7" s="5" t="s">
        <v>169</v>
      </c>
      <c r="B7" s="5" t="s">
        <v>170</v>
      </c>
      <c r="C7" s="5" t="s">
        <v>145</v>
      </c>
      <c r="D7" s="5" t="s">
        <v>141</v>
      </c>
      <c r="E7" s="5">
        <v>12</v>
      </c>
      <c r="F7" s="8">
        <v>1400000</v>
      </c>
      <c r="G7" s="8">
        <v>420000</v>
      </c>
      <c r="H7" s="8">
        <v>112000</v>
      </c>
      <c r="I7" s="8">
        <v>1932000</v>
      </c>
    </row>
    <row r="8" spans="1:9" x14ac:dyDescent="0.45">
      <c r="A8" s="5" t="s">
        <v>171</v>
      </c>
      <c r="B8" s="5" t="s">
        <v>172</v>
      </c>
      <c r="C8" s="5" t="s">
        <v>140</v>
      </c>
      <c r="D8" s="5" t="s">
        <v>54</v>
      </c>
      <c r="E8" s="5">
        <v>3</v>
      </c>
      <c r="F8" s="8">
        <v>950000</v>
      </c>
      <c r="G8" s="8">
        <v>190000</v>
      </c>
      <c r="H8" s="8">
        <v>19000</v>
      </c>
      <c r="I8" s="8">
        <v>1159000</v>
      </c>
    </row>
    <row r="9" spans="1:9" x14ac:dyDescent="0.45">
      <c r="A9" s="5" t="s">
        <v>173</v>
      </c>
      <c r="B9" s="5" t="s">
        <v>174</v>
      </c>
      <c r="C9" s="5" t="s">
        <v>145</v>
      </c>
      <c r="D9" s="5" t="s">
        <v>54</v>
      </c>
      <c r="E9" s="5">
        <v>4</v>
      </c>
      <c r="F9" s="8">
        <v>1000000</v>
      </c>
      <c r="G9" s="8">
        <v>200000</v>
      </c>
      <c r="H9" s="8">
        <v>20000</v>
      </c>
      <c r="I9" s="8">
        <v>1220000</v>
      </c>
    </row>
    <row r="10" spans="1:9" x14ac:dyDescent="0.45">
      <c r="A10" s="5" t="s">
        <v>175</v>
      </c>
      <c r="B10" s="5" t="s">
        <v>176</v>
      </c>
      <c r="C10" s="5" t="s">
        <v>164</v>
      </c>
      <c r="D10" s="5" t="s">
        <v>50</v>
      </c>
      <c r="E10" s="5">
        <v>8</v>
      </c>
      <c r="F10" s="8">
        <v>1200000</v>
      </c>
      <c r="G10" s="8">
        <v>360000</v>
      </c>
      <c r="H10" s="8">
        <v>60000</v>
      </c>
      <c r="I10" s="8">
        <v>1620000</v>
      </c>
    </row>
    <row r="11" spans="1:9" x14ac:dyDescent="0.45">
      <c r="A11" s="5" t="s">
        <v>177</v>
      </c>
      <c r="B11" s="5" t="s">
        <v>178</v>
      </c>
      <c r="C11" s="5" t="s">
        <v>145</v>
      </c>
      <c r="D11" s="5" t="s">
        <v>50</v>
      </c>
      <c r="E11" s="5">
        <v>9</v>
      </c>
      <c r="F11" s="8">
        <v>1250000</v>
      </c>
      <c r="G11" s="8">
        <v>375000</v>
      </c>
      <c r="H11" s="8">
        <v>62500</v>
      </c>
      <c r="I11" s="8">
        <v>1687500</v>
      </c>
    </row>
    <row r="12" spans="1:9" x14ac:dyDescent="0.45">
      <c r="A12" s="5" t="s">
        <v>179</v>
      </c>
      <c r="B12" s="5" t="s">
        <v>180</v>
      </c>
      <c r="C12" s="5" t="s">
        <v>140</v>
      </c>
      <c r="D12" s="5" t="s">
        <v>141</v>
      </c>
      <c r="E12" s="5">
        <v>11</v>
      </c>
      <c r="F12" s="8">
        <v>1350000</v>
      </c>
      <c r="G12" s="8">
        <v>405000</v>
      </c>
      <c r="H12" s="8">
        <v>108000</v>
      </c>
      <c r="I12" s="8">
        <v>1863000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0A60D-4471-4495-AF52-74BBBEB51585}">
  <dimension ref="A1:H4"/>
  <sheetViews>
    <sheetView workbookViewId="0">
      <selection sqref="A1:H1"/>
    </sheetView>
  </sheetViews>
  <sheetFormatPr defaultRowHeight="17" x14ac:dyDescent="0.45"/>
  <cols>
    <col min="1" max="2" width="8.6640625" customWidth="1"/>
    <col min="3" max="3" width="10.58203125" bestFit="1" customWidth="1"/>
    <col min="4" max="5" width="9.08203125" bestFit="1" customWidth="1"/>
    <col min="6" max="7" width="10.58203125" bestFit="1" customWidth="1"/>
    <col min="8" max="8" width="10.4140625" bestFit="1" customWidth="1"/>
  </cols>
  <sheetData>
    <row r="1" spans="1:8" ht="21" x14ac:dyDescent="0.45">
      <c r="A1" s="18" t="s">
        <v>181</v>
      </c>
      <c r="B1" s="18"/>
      <c r="C1" s="18"/>
      <c r="D1" s="18"/>
      <c r="E1" s="18"/>
      <c r="F1" s="18"/>
      <c r="G1" s="18"/>
      <c r="H1" s="18"/>
    </row>
    <row r="3" spans="1:8" x14ac:dyDescent="0.45">
      <c r="A3" s="5" t="s">
        <v>182</v>
      </c>
      <c r="B3" s="5" t="s">
        <v>183</v>
      </c>
      <c r="C3" s="5" t="s">
        <v>184</v>
      </c>
      <c r="D3" s="5" t="s">
        <v>185</v>
      </c>
      <c r="E3" s="5" t="s">
        <v>186</v>
      </c>
      <c r="F3" s="5" t="s">
        <v>187</v>
      </c>
      <c r="G3" s="5" t="s">
        <v>188</v>
      </c>
      <c r="H3" s="5" t="s">
        <v>189</v>
      </c>
    </row>
    <row r="4" spans="1:8" x14ac:dyDescent="0.45">
      <c r="A4" s="8">
        <v>4000</v>
      </c>
      <c r="B4" s="8">
        <v>1000</v>
      </c>
      <c r="C4" s="8">
        <v>1000000</v>
      </c>
      <c r="D4" s="8">
        <v>500000</v>
      </c>
      <c r="E4" s="8">
        <v>500000</v>
      </c>
      <c r="F4" s="8">
        <f>A4*B4</f>
        <v>4000000</v>
      </c>
      <c r="G4" s="8">
        <f>F4-C4-D4-E4</f>
        <v>2000000</v>
      </c>
      <c r="H4" s="9">
        <f>G4/F4</f>
        <v>0.5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G12"/>
  <sheetViews>
    <sheetView workbookViewId="0">
      <selection sqref="A1:G1"/>
    </sheetView>
  </sheetViews>
  <sheetFormatPr defaultRowHeight="17" x14ac:dyDescent="0.45"/>
  <cols>
    <col min="2" max="2" width="9.6640625" bestFit="1" customWidth="1"/>
    <col min="3" max="5" width="9.08203125" bestFit="1" customWidth="1"/>
    <col min="6" max="6" width="13.08203125" customWidth="1"/>
  </cols>
  <sheetData>
    <row r="1" spans="1:7" ht="21" x14ac:dyDescent="0.45">
      <c r="A1" s="18" t="s">
        <v>190</v>
      </c>
      <c r="B1" s="18"/>
      <c r="C1" s="18"/>
      <c r="D1" s="18"/>
      <c r="E1" s="18"/>
      <c r="F1" s="18"/>
      <c r="G1" s="18"/>
    </row>
    <row r="3" spans="1:7" ht="34" x14ac:dyDescent="0.45">
      <c r="A3" s="5" t="s">
        <v>191</v>
      </c>
      <c r="B3" s="5" t="s">
        <v>193</v>
      </c>
      <c r="C3" s="10" t="s">
        <v>194</v>
      </c>
      <c r="D3" s="10" t="s">
        <v>195</v>
      </c>
      <c r="E3" s="5" t="s">
        <v>196</v>
      </c>
      <c r="F3" s="5" t="s">
        <v>197</v>
      </c>
      <c r="G3" s="5" t="s">
        <v>198</v>
      </c>
    </row>
    <row r="4" spans="1:7" x14ac:dyDescent="0.45">
      <c r="A4" s="5" t="s">
        <v>199</v>
      </c>
      <c r="B4" s="8">
        <v>70</v>
      </c>
      <c r="C4" s="8">
        <v>85</v>
      </c>
      <c r="D4" s="8">
        <v>100</v>
      </c>
      <c r="E4" s="8">
        <f>B4*1332</f>
        <v>93240</v>
      </c>
      <c r="F4" s="8">
        <f>(C4+D4)*E4</f>
        <v>17249400</v>
      </c>
      <c r="G4" s="5">
        <f>_xlfn.RANK.EQ(F4,$F$4:$F$11)</f>
        <v>8</v>
      </c>
    </row>
    <row r="5" spans="1:7" x14ac:dyDescent="0.45">
      <c r="A5" s="5" t="s">
        <v>200</v>
      </c>
      <c r="B5" s="8">
        <v>75</v>
      </c>
      <c r="C5" s="8">
        <v>265</v>
      </c>
      <c r="D5" s="8">
        <v>175</v>
      </c>
      <c r="E5" s="8">
        <f t="shared" ref="E5:E11" si="0">B5*1332</f>
        <v>99900</v>
      </c>
      <c r="F5" s="8">
        <f t="shared" ref="F5:F11" si="1">(C5+D5)*E5</f>
        <v>43956000</v>
      </c>
      <c r="G5" s="5">
        <f t="shared" ref="G5:G11" si="2">_xlfn.RANK.EQ(F5,$F$4:$F$11)</f>
        <v>4</v>
      </c>
    </row>
    <row r="6" spans="1:7" x14ac:dyDescent="0.45">
      <c r="A6" s="5" t="s">
        <v>201</v>
      </c>
      <c r="B6" s="8">
        <v>90</v>
      </c>
      <c r="C6" s="8">
        <v>300</v>
      </c>
      <c r="D6" s="8">
        <v>240</v>
      </c>
      <c r="E6" s="8">
        <f t="shared" si="0"/>
        <v>119880</v>
      </c>
      <c r="F6" s="8">
        <f t="shared" si="1"/>
        <v>64735200</v>
      </c>
      <c r="G6" s="5">
        <f t="shared" si="2"/>
        <v>3</v>
      </c>
    </row>
    <row r="7" spans="1:7" x14ac:dyDescent="0.45">
      <c r="A7" s="5" t="s">
        <v>202</v>
      </c>
      <c r="B7" s="8">
        <v>45</v>
      </c>
      <c r="C7" s="8">
        <v>120</v>
      </c>
      <c r="D7" s="8">
        <v>315</v>
      </c>
      <c r="E7" s="8">
        <f t="shared" si="0"/>
        <v>59940</v>
      </c>
      <c r="F7" s="8">
        <f t="shared" si="1"/>
        <v>26073900</v>
      </c>
      <c r="G7" s="5">
        <f t="shared" si="2"/>
        <v>5</v>
      </c>
    </row>
    <row r="8" spans="1:7" x14ac:dyDescent="0.45">
      <c r="A8" s="5" t="s">
        <v>203</v>
      </c>
      <c r="B8" s="8">
        <v>50</v>
      </c>
      <c r="C8" s="8">
        <v>550</v>
      </c>
      <c r="D8" s="8">
        <v>550</v>
      </c>
      <c r="E8" s="8">
        <f t="shared" si="0"/>
        <v>66600</v>
      </c>
      <c r="F8" s="8">
        <f t="shared" si="1"/>
        <v>73260000</v>
      </c>
      <c r="G8" s="5">
        <f t="shared" si="2"/>
        <v>2</v>
      </c>
    </row>
    <row r="9" spans="1:7" x14ac:dyDescent="0.45">
      <c r="A9" s="5" t="s">
        <v>204</v>
      </c>
      <c r="B9" s="8">
        <v>100</v>
      </c>
      <c r="C9" s="8">
        <v>570</v>
      </c>
      <c r="D9" s="8">
        <v>30</v>
      </c>
      <c r="E9" s="8">
        <f t="shared" si="0"/>
        <v>133200</v>
      </c>
      <c r="F9" s="8">
        <f t="shared" si="1"/>
        <v>79920000</v>
      </c>
      <c r="G9" s="5">
        <f t="shared" si="2"/>
        <v>1</v>
      </c>
    </row>
    <row r="10" spans="1:7" x14ac:dyDescent="0.45">
      <c r="A10" s="5" t="s">
        <v>205</v>
      </c>
      <c r="B10" s="8">
        <v>35</v>
      </c>
      <c r="C10" s="8">
        <v>173</v>
      </c>
      <c r="D10" s="8">
        <v>254</v>
      </c>
      <c r="E10" s="8">
        <f t="shared" si="0"/>
        <v>46620</v>
      </c>
      <c r="F10" s="8">
        <f t="shared" si="1"/>
        <v>19906740</v>
      </c>
      <c r="G10" s="5">
        <f t="shared" si="2"/>
        <v>6</v>
      </c>
    </row>
    <row r="11" spans="1:7" x14ac:dyDescent="0.45">
      <c r="A11" s="5" t="s">
        <v>206</v>
      </c>
      <c r="B11" s="8">
        <v>40</v>
      </c>
      <c r="C11" s="8">
        <v>150</v>
      </c>
      <c r="D11" s="8">
        <v>180</v>
      </c>
      <c r="E11" s="8">
        <f t="shared" si="0"/>
        <v>53280</v>
      </c>
      <c r="F11" s="8">
        <f t="shared" si="1"/>
        <v>17582400</v>
      </c>
      <c r="G11" s="5">
        <f t="shared" si="2"/>
        <v>7</v>
      </c>
    </row>
    <row r="12" spans="1:7" x14ac:dyDescent="0.45">
      <c r="A12" s="24" t="s">
        <v>207</v>
      </c>
      <c r="B12" s="24"/>
      <c r="C12" s="8"/>
      <c r="D12" s="8"/>
      <c r="E12" s="8"/>
      <c r="F12" s="8"/>
      <c r="G12" s="11"/>
    </row>
  </sheetData>
  <mergeCells count="2">
    <mergeCell ref="A1:G1"/>
    <mergeCell ref="A12:B1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G10"/>
  <sheetViews>
    <sheetView workbookViewId="0">
      <selection sqref="A1:G1"/>
    </sheetView>
  </sheetViews>
  <sheetFormatPr defaultRowHeight="17" x14ac:dyDescent="0.45"/>
  <cols>
    <col min="1" max="1" width="11.08203125" bestFit="1" customWidth="1"/>
    <col min="2" max="3" width="9.08203125" bestFit="1" customWidth="1"/>
    <col min="4" max="4" width="9.33203125" bestFit="1" customWidth="1"/>
    <col min="5" max="5" width="9.08203125" bestFit="1" customWidth="1"/>
  </cols>
  <sheetData>
    <row r="1" spans="1:7" ht="21" x14ac:dyDescent="0.45">
      <c r="A1" s="18" t="s">
        <v>208</v>
      </c>
      <c r="B1" s="18"/>
      <c r="C1" s="18"/>
      <c r="D1" s="18"/>
      <c r="E1" s="18"/>
      <c r="F1" s="18"/>
      <c r="G1" s="18"/>
    </row>
    <row r="2" spans="1:7" x14ac:dyDescent="0.45">
      <c r="G2" s="12" t="s">
        <v>209</v>
      </c>
    </row>
    <row r="3" spans="1:7" x14ac:dyDescent="0.45">
      <c r="A3" s="5" t="s">
        <v>210</v>
      </c>
      <c r="B3" s="5" t="s">
        <v>192</v>
      </c>
      <c r="C3" s="5" t="s">
        <v>47</v>
      </c>
      <c r="D3" s="5" t="s">
        <v>211</v>
      </c>
      <c r="E3" s="5" t="s">
        <v>212</v>
      </c>
      <c r="F3" s="5" t="s">
        <v>213</v>
      </c>
      <c r="G3" s="5" t="s">
        <v>214</v>
      </c>
    </row>
    <row r="4" spans="1:7" x14ac:dyDescent="0.45">
      <c r="A4" s="5" t="s">
        <v>215</v>
      </c>
      <c r="B4" s="14">
        <v>2500</v>
      </c>
      <c r="C4" s="14">
        <v>50</v>
      </c>
      <c r="D4" s="14">
        <v>125000</v>
      </c>
      <c r="E4" s="14">
        <v>45</v>
      </c>
      <c r="F4" s="13">
        <v>1.1111</v>
      </c>
      <c r="G4" s="5" t="s">
        <v>216</v>
      </c>
    </row>
    <row r="5" spans="1:7" x14ac:dyDescent="0.45">
      <c r="A5" s="5" t="s">
        <v>217</v>
      </c>
      <c r="B5" s="14">
        <v>1630</v>
      </c>
      <c r="C5" s="14">
        <v>250</v>
      </c>
      <c r="D5" s="14">
        <v>407500</v>
      </c>
      <c r="E5" s="14">
        <v>245</v>
      </c>
      <c r="F5" s="13">
        <v>1.0204</v>
      </c>
      <c r="G5" s="5" t="s">
        <v>216</v>
      </c>
    </row>
    <row r="6" spans="1:7" x14ac:dyDescent="0.45">
      <c r="A6" s="5" t="s">
        <v>218</v>
      </c>
      <c r="B6" s="14">
        <v>450</v>
      </c>
      <c r="C6" s="14">
        <v>15</v>
      </c>
      <c r="D6" s="14">
        <v>6750</v>
      </c>
      <c r="E6" s="14">
        <v>50</v>
      </c>
      <c r="F6" s="13">
        <v>0.3</v>
      </c>
      <c r="G6" s="5" t="s">
        <v>219</v>
      </c>
    </row>
    <row r="7" spans="1:7" x14ac:dyDescent="0.45">
      <c r="A7" s="5" t="s">
        <v>220</v>
      </c>
      <c r="B7" s="14">
        <v>150</v>
      </c>
      <c r="C7" s="14">
        <v>150</v>
      </c>
      <c r="D7" s="14">
        <v>22500</v>
      </c>
      <c r="E7" s="14">
        <v>150</v>
      </c>
      <c r="F7" s="13">
        <v>1</v>
      </c>
      <c r="G7" s="5" t="s">
        <v>221</v>
      </c>
    </row>
    <row r="8" spans="1:7" x14ac:dyDescent="0.45">
      <c r="A8" s="5" t="s">
        <v>222</v>
      </c>
      <c r="B8" s="14">
        <v>150</v>
      </c>
      <c r="C8" s="14">
        <v>154</v>
      </c>
      <c r="D8" s="14">
        <v>23100</v>
      </c>
      <c r="E8" s="14">
        <v>250</v>
      </c>
      <c r="F8" s="13">
        <v>0.61599999999999999</v>
      </c>
      <c r="G8" s="5" t="s">
        <v>219</v>
      </c>
    </row>
    <row r="9" spans="1:7" x14ac:dyDescent="0.45">
      <c r="A9" s="5" t="s">
        <v>223</v>
      </c>
      <c r="B9" s="14">
        <v>60</v>
      </c>
      <c r="C9" s="14">
        <v>578</v>
      </c>
      <c r="D9" s="14">
        <v>34680</v>
      </c>
      <c r="E9" s="14">
        <v>450</v>
      </c>
      <c r="F9" s="13">
        <v>1.2844</v>
      </c>
      <c r="G9" s="5" t="s">
        <v>216</v>
      </c>
    </row>
    <row r="10" spans="1:7" x14ac:dyDescent="0.45">
      <c r="A10" s="24" t="s">
        <v>207</v>
      </c>
      <c r="B10" s="24"/>
      <c r="C10" s="15">
        <f>SUM(C4:C9)</f>
        <v>1197</v>
      </c>
      <c r="D10" s="15">
        <f>SUM(D4:D9)</f>
        <v>619530</v>
      </c>
    </row>
  </sheetData>
  <mergeCells count="2">
    <mergeCell ref="A1:G1"/>
    <mergeCell ref="A10:B1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2024-07-16T07:40:09Z</dcterms:modified>
</cp:coreProperties>
</file>