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/>
  <workbookPr defaultThemeVersion="166925"/>
  <mc:AlternateContent xmlns:mc="http://schemas.openxmlformats.org/markup-compatibility/2006">
    <mc:Choice Requires="x15">
      <x15ac:absPath xmlns:x15ac="http://schemas.microsoft.com/office/spreadsheetml/2010/11/ac" url="D:\01_작업총모음\01_수험서\19_2025\07_컴활2급실기\길벗컴활2급\01 섹션\"/>
    </mc:Choice>
  </mc:AlternateContent>
  <xr:revisionPtr revIDLastSave="0" documentId="13_ncr:1_{4319E3B0-B04E-4295-B922-7F9417C121E3}" xr6:coauthVersionLast="47" xr6:coauthVersionMax="47" xr10:uidLastSave="{00000000-0000-0000-0000-000000000000}"/>
  <bookViews>
    <workbookView xWindow="-35360" yWindow="2910" windowWidth="24250" windowHeight="18690" xr2:uid="{EE757160-5024-4120-A609-A74D9106D7A4}"/>
  </bookViews>
  <sheets>
    <sheet name="무작정따라하기" sheetId="6" r:id="rId1"/>
    <sheet name="기출01" sheetId="9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31" i="9" l="1"/>
  <c r="D14" i="9"/>
  <c r="D15" i="9"/>
  <c r="D16" i="9"/>
  <c r="D17" i="9"/>
  <c r="D18" i="9"/>
  <c r="D19" i="9"/>
  <c r="D20" i="9"/>
  <c r="D4" i="9" l="1"/>
  <c r="D5" i="9"/>
  <c r="D6" i="9"/>
  <c r="D7" i="9"/>
  <c r="D8" i="9"/>
  <c r="D9" i="9"/>
  <c r="D10" i="9"/>
  <c r="J4" i="9"/>
  <c r="J5" i="9"/>
  <c r="J6" i="9"/>
  <c r="J7" i="9"/>
  <c r="J3" i="9"/>
  <c r="D3" i="9"/>
  <c r="D31" i="6"/>
  <c r="D32" i="6"/>
  <c r="D4" i="6"/>
  <c r="D5" i="6"/>
  <c r="D6" i="6"/>
  <c r="D7" i="6"/>
  <c r="D8" i="6"/>
  <c r="D9" i="6"/>
  <c r="I4" i="6"/>
  <c r="I5" i="6"/>
  <c r="I6" i="6"/>
  <c r="I7" i="6"/>
  <c r="I8" i="6"/>
  <c r="I9" i="6"/>
  <c r="I18" i="6"/>
  <c r="D26" i="6"/>
  <c r="D31" i="9"/>
  <c r="D19" i="6" l="1"/>
  <c r="D20" i="6"/>
  <c r="D21" i="6"/>
  <c r="D22" i="6"/>
  <c r="D23" i="6"/>
  <c r="D24" i="6"/>
  <c r="D18" i="6"/>
  <c r="I3" i="6"/>
  <c r="D3" i="6"/>
  <c r="D30" i="6" l="1"/>
</calcChain>
</file>

<file path=xl/sharedStrings.xml><?xml version="1.0" encoding="utf-8"?>
<sst xmlns="http://schemas.openxmlformats.org/spreadsheetml/2006/main" count="221" uniqueCount="190">
  <si>
    <t>접수코드</t>
  </si>
  <si>
    <t>고객명</t>
  </si>
  <si>
    <t>대출금액</t>
  </si>
  <si>
    <t>대출금리</t>
  </si>
  <si>
    <t>판매수량</t>
  </si>
  <si>
    <t>판매금액</t>
  </si>
  <si>
    <t>001-M-1121</t>
  </si>
  <si>
    <t>김현민</t>
  </si>
  <si>
    <t>002-C-3241</t>
  </si>
  <si>
    <t>우지혜</t>
  </si>
  <si>
    <t>003-S-2345</t>
  </si>
  <si>
    <t>강수인</t>
  </si>
  <si>
    <t>004-S-4532</t>
  </si>
  <si>
    <t>안정호</t>
  </si>
  <si>
    <t>005-C-3421</t>
  </si>
  <si>
    <t>유현상</t>
  </si>
  <si>
    <t>006-M-4567</t>
  </si>
  <si>
    <t>도야지</t>
  </si>
  <si>
    <t>007-C-2341</t>
  </si>
  <si>
    <t>최우영</t>
  </si>
  <si>
    <t>코드</t>
  </si>
  <si>
    <t>대출상품</t>
  </si>
  <si>
    <t>S</t>
  </si>
  <si>
    <t>학자금</t>
  </si>
  <si>
    <t>C</t>
  </si>
  <si>
    <t>출산</t>
  </si>
  <si>
    <t>M</t>
  </si>
  <si>
    <t>결혼자금</t>
  </si>
  <si>
    <t>성명</t>
  </si>
  <si>
    <t>성별</t>
  </si>
  <si>
    <t>성적</t>
  </si>
  <si>
    <t>비고</t>
  </si>
  <si>
    <t>사원코드</t>
  </si>
  <si>
    <t>성명 (3등)</t>
  </si>
  <si>
    <t>강성권</t>
  </si>
  <si>
    <t>남</t>
  </si>
  <si>
    <t>ds-043</t>
  </si>
  <si>
    <t>정지호</t>
  </si>
  <si>
    <t>도지영</t>
  </si>
  <si>
    <t>이길순</t>
  </si>
  <si>
    <t>ds-078</t>
  </si>
  <si>
    <t>방정수</t>
  </si>
  <si>
    <t>하길주</t>
  </si>
  <si>
    <t>여</t>
  </si>
  <si>
    <t>ds-053</t>
  </si>
  <si>
    <t>이선호</t>
  </si>
  <si>
    <t>ds-068</t>
  </si>
  <si>
    <t>박철환</t>
  </si>
  <si>
    <t>강성수</t>
  </si>
  <si>
    <t>ds-063</t>
  </si>
  <si>
    <t>성인수</t>
  </si>
  <si>
    <t>김보견</t>
  </si>
  <si>
    <t>ds-048</t>
  </si>
  <si>
    <t>소지성</t>
  </si>
  <si>
    <t>천수만</t>
  </si>
  <si>
    <t>ds-058</t>
  </si>
  <si>
    <t>심학성</t>
  </si>
  <si>
    <t>ds-073</t>
  </si>
  <si>
    <t>윤자요</t>
  </si>
  <si>
    <t>ds-083</t>
  </si>
  <si>
    <t>최주영</t>
  </si>
  <si>
    <t>품목</t>
  </si>
  <si>
    <t>생산량</t>
  </si>
  <si>
    <t>상자당 개수</t>
  </si>
  <si>
    <t>사과</t>
  </si>
  <si>
    <t>배</t>
  </si>
  <si>
    <t>복숭아</t>
  </si>
  <si>
    <t>[표1]</t>
    <phoneticPr fontId="1" type="noConversion"/>
  </si>
  <si>
    <t>대출금 내역</t>
    <phoneticPr fontId="1" type="noConversion"/>
  </si>
  <si>
    <t>[표2]</t>
    <phoneticPr fontId="1" type="noConversion"/>
  </si>
  <si>
    <t>[표3]</t>
    <phoneticPr fontId="1" type="noConversion"/>
  </si>
  <si>
    <t>성적표</t>
    <phoneticPr fontId="1" type="noConversion"/>
  </si>
  <si>
    <t>[표4]</t>
    <phoneticPr fontId="1" type="noConversion"/>
  </si>
  <si>
    <t>영어회화 평가 결과</t>
  </si>
  <si>
    <t>[표5]</t>
    <phoneticPr fontId="1" type="noConversion"/>
  </si>
  <si>
    <t>품목별 생산량</t>
    <phoneticPr fontId="1" type="noConversion"/>
  </si>
  <si>
    <t>근무년수</t>
  </si>
  <si>
    <t>소속부서</t>
  </si>
  <si>
    <t>제품명</t>
  </si>
  <si>
    <t>할인액</t>
  </si>
  <si>
    <t>H203-1</t>
  </si>
  <si>
    <t>이지원</t>
  </si>
  <si>
    <t>다이어리</t>
  </si>
  <si>
    <t>K102-2</t>
  </si>
  <si>
    <t>나오미</t>
  </si>
  <si>
    <t>수첩</t>
  </si>
  <si>
    <t>B333-3</t>
  </si>
  <si>
    <t>권경애</t>
  </si>
  <si>
    <t>명함꽂이</t>
  </si>
  <si>
    <t>D104-2</t>
  </si>
  <si>
    <t>강수영</t>
  </si>
  <si>
    <t>딱풀</t>
  </si>
  <si>
    <t>F405-3</t>
  </si>
  <si>
    <t>나우선</t>
  </si>
  <si>
    <t>붓</t>
  </si>
  <si>
    <t>G306-4</t>
  </si>
  <si>
    <t>임철수</t>
  </si>
  <si>
    <t>이미지</t>
  </si>
  <si>
    <t>&lt;할인율표&gt;</t>
  </si>
  <si>
    <t>할인율</t>
  </si>
  <si>
    <t>이름</t>
  </si>
  <si>
    <t>최성완</t>
  </si>
  <si>
    <t>이안나</t>
  </si>
  <si>
    <t>박영선</t>
  </si>
  <si>
    <t>심재준</t>
  </si>
  <si>
    <t>이승호</t>
  </si>
  <si>
    <t>신영숙</t>
  </si>
  <si>
    <t>김영수</t>
  </si>
  <si>
    <t xml:space="preserve">[표1] </t>
    <phoneticPr fontId="1" type="noConversion"/>
  </si>
  <si>
    <t>상공전자 사원 현황</t>
  </si>
  <si>
    <t xml:space="preserve">[표2] </t>
    <phoneticPr fontId="1" type="noConversion"/>
  </si>
  <si>
    <t>상공 문구 판매 현황</t>
  </si>
  <si>
    <t xml:space="preserve">[표3] </t>
    <phoneticPr fontId="1" type="noConversion"/>
  </si>
  <si>
    <t xml:space="preserve">[표4] </t>
    <phoneticPr fontId="1" type="noConversion"/>
  </si>
  <si>
    <t>상자(나머지)</t>
    <phoneticPr fontId="1" type="noConversion"/>
  </si>
  <si>
    <t>노력인 학생의 성적 합계</t>
    <phoneticPr fontId="1" type="noConversion"/>
  </si>
  <si>
    <t>S592-2</t>
    <phoneticPr fontId="1" type="noConversion"/>
  </si>
  <si>
    <t>김은소</t>
    <phoneticPr fontId="1" type="noConversion"/>
  </si>
  <si>
    <t>결과</t>
    <phoneticPr fontId="1" type="noConversion"/>
  </si>
  <si>
    <t>이름</t>
    <phoneticPr fontId="1" type="noConversion"/>
  </si>
  <si>
    <t>평균</t>
    <phoneticPr fontId="1" type="noConversion"/>
  </si>
  <si>
    <t>노력</t>
    <phoneticPr fontId="1" type="noConversion"/>
  </si>
  <si>
    <t>보통</t>
    <phoneticPr fontId="1" type="noConversion"/>
  </si>
  <si>
    <t>우수</t>
    <phoneticPr fontId="1" type="noConversion"/>
  </si>
  <si>
    <t>&lt;결과기준표&gt;</t>
    <phoneticPr fontId="1" type="noConversion"/>
  </si>
  <si>
    <t>최우수</t>
    <phoneticPr fontId="1" type="noConversion"/>
  </si>
  <si>
    <t>영어듣기 평가</t>
    <phoneticPr fontId="1" type="noConversion"/>
  </si>
  <si>
    <t>1차점수</t>
    <phoneticPr fontId="1" type="noConversion"/>
  </si>
  <si>
    <t>2차점수</t>
    <phoneticPr fontId="1" type="noConversion"/>
  </si>
  <si>
    <t>안기자</t>
    <phoneticPr fontId="1" type="noConversion"/>
  </si>
  <si>
    <t>여규식</t>
    <phoneticPr fontId="1" type="noConversion"/>
  </si>
  <si>
    <t>오선길</t>
    <phoneticPr fontId="1" type="noConversion"/>
  </si>
  <si>
    <t>이준모</t>
    <phoneticPr fontId="1" type="noConversion"/>
  </si>
  <si>
    <t>강민찬</t>
    <phoneticPr fontId="1" type="noConversion"/>
  </si>
  <si>
    <t>김현수</t>
    <phoneticPr fontId="1" type="noConversion"/>
  </si>
  <si>
    <t>구성태</t>
    <phoneticPr fontId="1" type="noConversion"/>
  </si>
  <si>
    <t>판매가격</t>
    <phoneticPr fontId="1" type="noConversion"/>
  </si>
  <si>
    <t>사원명</t>
    <phoneticPr fontId="1" type="noConversion"/>
  </si>
  <si>
    <t>부서명</t>
    <phoneticPr fontId="1" type="noConversion"/>
  </si>
  <si>
    <t>급여</t>
    <phoneticPr fontId="1" type="noConversion"/>
  </si>
  <si>
    <t>급여 지급 현황</t>
    <phoneticPr fontId="1" type="noConversion"/>
  </si>
  <si>
    <t>박소현</t>
    <phoneticPr fontId="1" type="noConversion"/>
  </si>
  <si>
    <t>손동준</t>
    <phoneticPr fontId="1" type="noConversion"/>
  </si>
  <si>
    <t>고현희</t>
    <phoneticPr fontId="1" type="noConversion"/>
  </si>
  <si>
    <t>윤정민</t>
    <phoneticPr fontId="1" type="noConversion"/>
  </si>
  <si>
    <t>김민서</t>
    <phoneticPr fontId="1" type="noConversion"/>
  </si>
  <si>
    <t>이중희</t>
    <phoneticPr fontId="1" type="noConversion"/>
  </si>
  <si>
    <t>조현성</t>
    <phoneticPr fontId="1" type="noConversion"/>
  </si>
  <si>
    <t>홍보부</t>
    <phoneticPr fontId="1" type="noConversion"/>
  </si>
  <si>
    <t>기획부</t>
    <phoneticPr fontId="1" type="noConversion"/>
  </si>
  <si>
    <t>홍보부 대리 급여 합계</t>
    <phoneticPr fontId="1" type="noConversion"/>
  </si>
  <si>
    <t>근무년수</t>
    <phoneticPr fontId="1" type="noConversion"/>
  </si>
  <si>
    <t>학생관리</t>
    <phoneticPr fontId="1" type="noConversion"/>
  </si>
  <si>
    <t>&lt;학과표&gt;</t>
    <phoneticPr fontId="1" type="noConversion"/>
  </si>
  <si>
    <t>코드</t>
    <phoneticPr fontId="1" type="noConversion"/>
  </si>
  <si>
    <t>학과</t>
    <phoneticPr fontId="1" type="noConversion"/>
  </si>
  <si>
    <t>b</t>
    <phoneticPr fontId="1" type="noConversion"/>
  </si>
  <si>
    <t>s</t>
    <phoneticPr fontId="1" type="noConversion"/>
  </si>
  <si>
    <t>a</t>
    <phoneticPr fontId="1" type="noConversion"/>
  </si>
  <si>
    <t>e</t>
    <phoneticPr fontId="1" type="noConversion"/>
  </si>
  <si>
    <t>business</t>
  </si>
  <si>
    <t>software</t>
  </si>
  <si>
    <t>architecture</t>
  </si>
  <si>
    <t>electronic</t>
  </si>
  <si>
    <t>성별</t>
    <phoneticPr fontId="1" type="noConversion"/>
  </si>
  <si>
    <t>남</t>
    <phoneticPr fontId="1" type="noConversion"/>
  </si>
  <si>
    <t>여</t>
    <phoneticPr fontId="1" type="noConversion"/>
  </si>
  <si>
    <t>학생코드</t>
    <phoneticPr fontId="1" type="noConversion"/>
  </si>
  <si>
    <t>s102935</t>
    <phoneticPr fontId="1" type="noConversion"/>
  </si>
  <si>
    <t>e569007</t>
    <phoneticPr fontId="1" type="noConversion"/>
  </si>
  <si>
    <t>b667418</t>
    <phoneticPr fontId="1" type="noConversion"/>
  </si>
  <si>
    <t>a963403</t>
    <phoneticPr fontId="1" type="noConversion"/>
  </si>
  <si>
    <t>e860225</t>
    <phoneticPr fontId="1" type="noConversion"/>
  </si>
  <si>
    <t>s439118</t>
    <phoneticPr fontId="1" type="noConversion"/>
  </si>
  <si>
    <t>b937474</t>
    <phoneticPr fontId="1" type="noConversion"/>
  </si>
  <si>
    <t>화물운송비용</t>
    <phoneticPr fontId="1" type="noConversion"/>
  </si>
  <si>
    <t>지역</t>
    <phoneticPr fontId="1" type="noConversion"/>
  </si>
  <si>
    <t>비용</t>
    <phoneticPr fontId="1" type="noConversion"/>
  </si>
  <si>
    <t>튼튼산업</t>
    <phoneticPr fontId="1" type="noConversion"/>
  </si>
  <si>
    <t>지방</t>
    <phoneticPr fontId="1" type="noConversion"/>
  </si>
  <si>
    <t>수도권</t>
    <phoneticPr fontId="1" type="noConversion"/>
  </si>
  <si>
    <t>하나산업</t>
    <phoneticPr fontId="1" type="noConversion"/>
  </si>
  <si>
    <t>한국산업</t>
    <phoneticPr fontId="1" type="noConversion"/>
  </si>
  <si>
    <t>대명산업</t>
    <phoneticPr fontId="1" type="noConversion"/>
  </si>
  <si>
    <t>유진산업</t>
    <phoneticPr fontId="1" type="noConversion"/>
  </si>
  <si>
    <t>국민산업</t>
    <phoneticPr fontId="1" type="noConversion"/>
  </si>
  <si>
    <t>유명산업</t>
    <phoneticPr fontId="1" type="noConversion"/>
  </si>
  <si>
    <t>군자산업</t>
    <phoneticPr fontId="1" type="noConversion"/>
  </si>
  <si>
    <t>거래처</t>
    <phoneticPr fontId="1" type="noConversion"/>
  </si>
  <si>
    <t>비용이 가장 비싼
지방 거래처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</si>
</sst>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1" formatCode="_-* #,##0_-;\-* #,##0_-;_-* &quot;-&quot;_-;_-@_-"/>
    <numFmt numFmtId="176" formatCode="0.0%"/>
  </numFmts>
  <fonts count="4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3">
    <xf numFmtId="0" fontId="0" fillId="0" borderId="0">
      <alignment vertical="center"/>
    </xf>
    <xf numFmtId="41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</cellStyleXfs>
  <cellXfs count="21">
    <xf numFmtId="0" fontId="0" fillId="0" borderId="0" xfId="0">
      <alignment vertical="center"/>
    </xf>
    <xf numFmtId="0" fontId="0" fillId="0" borderId="1" xfId="0" applyBorder="1" applyAlignment="1">
      <alignment horizontal="center" vertical="center"/>
    </xf>
    <xf numFmtId="41" fontId="0" fillId="0" borderId="1" xfId="1" applyFont="1" applyBorder="1" applyAlignment="1">
      <alignment horizontal="center" vertical="center"/>
    </xf>
    <xf numFmtId="176" fontId="0" fillId="0" borderId="1" xfId="2" applyNumberFormat="1" applyFont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3" fillId="0" borderId="0" xfId="0" applyFont="1">
      <alignment vertical="center"/>
    </xf>
    <xf numFmtId="176" fontId="0" fillId="0" borderId="1" xfId="0" applyNumberFormat="1" applyBorder="1" applyAlignment="1">
      <alignment horizontal="center" vertical="center"/>
    </xf>
    <xf numFmtId="0" fontId="0" fillId="0" borderId="0" xfId="0" applyAlignment="1">
      <alignment horizontal="left" vertical="center"/>
    </xf>
    <xf numFmtId="9" fontId="0" fillId="0" borderId="1" xfId="0" applyNumberFormat="1" applyBorder="1" applyAlignment="1">
      <alignment horizontal="center" vertical="center"/>
    </xf>
    <xf numFmtId="14" fontId="0" fillId="0" borderId="1" xfId="0" applyNumberFormat="1" applyBorder="1" applyAlignment="1">
      <alignment horizontal="center" vertical="center"/>
    </xf>
    <xf numFmtId="0" fontId="0" fillId="0" borderId="1" xfId="1" applyNumberFormat="1" applyFont="1" applyBorder="1" applyAlignment="1">
      <alignment horizontal="center" vertical="center"/>
    </xf>
    <xf numFmtId="0" fontId="3" fillId="0" borderId="0" xfId="0" applyFont="1" applyAlignment="1">
      <alignment horizontal="left" vertical="center"/>
    </xf>
    <xf numFmtId="0" fontId="0" fillId="2" borderId="1" xfId="0" applyFill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2" borderId="2" xfId="0" applyFill="1" applyBorder="1" applyAlignment="1">
      <alignment horizontal="center" vertical="center"/>
    </xf>
    <xf numFmtId="0" fontId="0" fillId="2" borderId="6" xfId="0" applyFill="1" applyBorder="1" applyAlignment="1">
      <alignment horizontal="center" vertical="center"/>
    </xf>
    <xf numFmtId="0" fontId="0" fillId="2" borderId="3" xfId="0" applyFill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2" borderId="1" xfId="0" applyFill="1" applyBorder="1" applyAlignment="1">
      <alignment horizontal="center" vertical="center" wrapText="1"/>
    </xf>
  </cellXfs>
  <cellStyles count="3">
    <cellStyle name="백분율" xfId="2" builtinId="5"/>
    <cellStyle name="쉼표 [0]" xfId="1" builtinId="6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D75635-73E3-48CC-A49C-1A5397EFBF84}">
  <dimension ref="A1:J32"/>
  <sheetViews>
    <sheetView tabSelected="1" workbookViewId="0"/>
  </sheetViews>
  <sheetFormatPr defaultColWidth="9" defaultRowHeight="17" x14ac:dyDescent="0.45"/>
  <cols>
    <col min="1" max="1" width="11.4140625" bestFit="1" customWidth="1"/>
    <col min="2" max="2" width="8.6640625" customWidth="1"/>
    <col min="3" max="4" width="11.6640625" bestFit="1" customWidth="1"/>
    <col min="5" max="5" width="3.58203125" customWidth="1"/>
    <col min="7" max="8" width="8.6640625" customWidth="1"/>
    <col min="9" max="9" width="9.5" bestFit="1" customWidth="1"/>
  </cols>
  <sheetData>
    <row r="1" spans="1:10" x14ac:dyDescent="0.45">
      <c r="A1" t="s">
        <v>67</v>
      </c>
      <c r="B1" s="5" t="s">
        <v>68</v>
      </c>
      <c r="F1" t="s">
        <v>69</v>
      </c>
      <c r="G1" s="5" t="s">
        <v>126</v>
      </c>
    </row>
    <row r="2" spans="1:10" x14ac:dyDescent="0.45">
      <c r="A2" s="1" t="s">
        <v>0</v>
      </c>
      <c r="B2" s="1" t="s">
        <v>1</v>
      </c>
      <c r="C2" s="1" t="s">
        <v>2</v>
      </c>
      <c r="D2" s="4" t="s">
        <v>3</v>
      </c>
      <c r="F2" s="1" t="s">
        <v>119</v>
      </c>
      <c r="G2" s="1" t="s">
        <v>127</v>
      </c>
      <c r="H2" s="1" t="s">
        <v>128</v>
      </c>
      <c r="I2" s="4" t="s">
        <v>118</v>
      </c>
    </row>
    <row r="3" spans="1:10" x14ac:dyDescent="0.45">
      <c r="A3" s="1" t="s">
        <v>6</v>
      </c>
      <c r="B3" s="1" t="s">
        <v>7</v>
      </c>
      <c r="C3" s="2">
        <v>15000000</v>
      </c>
      <c r="D3" s="3">
        <f>VLOOKUP(MID(A3,5,1),$A$12:$C$14,3,FALSE)</f>
        <v>4.2000000000000003E-2</v>
      </c>
      <c r="F3" s="1" t="s">
        <v>129</v>
      </c>
      <c r="G3" s="1">
        <v>83</v>
      </c>
      <c r="H3" s="1">
        <v>90</v>
      </c>
      <c r="I3" s="10" t="str">
        <f>HLOOKUP(AVERAGE(G3:H3),$G$12:$J$14,3)</f>
        <v>우수</v>
      </c>
    </row>
    <row r="4" spans="1:10" x14ac:dyDescent="0.45">
      <c r="A4" s="1" t="s">
        <v>8</v>
      </c>
      <c r="B4" s="1" t="s">
        <v>9</v>
      </c>
      <c r="C4" s="2">
        <v>5500000</v>
      </c>
      <c r="D4" s="3">
        <f t="shared" ref="D4:D9" si="0">VLOOKUP(MID(A4,5,1),$A$12:$C$14,3,FALSE)</f>
        <v>0.03</v>
      </c>
      <c r="F4" s="1" t="s">
        <v>130</v>
      </c>
      <c r="G4" s="1">
        <v>77</v>
      </c>
      <c r="H4" s="1">
        <v>72</v>
      </c>
      <c r="I4" s="10" t="str">
        <f t="shared" ref="I4:I9" si="1">HLOOKUP(AVERAGE(G4:H4),$G$12:$J$14,3)</f>
        <v>보통</v>
      </c>
    </row>
    <row r="5" spans="1:10" x14ac:dyDescent="0.45">
      <c r="A5" s="1" t="s">
        <v>10</v>
      </c>
      <c r="B5" s="1" t="s">
        <v>11</v>
      </c>
      <c r="C5" s="2">
        <v>6400000</v>
      </c>
      <c r="D5" s="3">
        <f t="shared" si="0"/>
        <v>2.1999999999999999E-2</v>
      </c>
      <c r="F5" s="1" t="s">
        <v>131</v>
      </c>
      <c r="G5" s="1">
        <v>93</v>
      </c>
      <c r="H5" s="1">
        <v>92</v>
      </c>
      <c r="I5" s="10" t="str">
        <f t="shared" si="1"/>
        <v>최우수</v>
      </c>
    </row>
    <row r="6" spans="1:10" x14ac:dyDescent="0.45">
      <c r="A6" s="1" t="s">
        <v>12</v>
      </c>
      <c r="B6" s="1" t="s">
        <v>13</v>
      </c>
      <c r="C6" s="2">
        <v>20000000</v>
      </c>
      <c r="D6" s="3">
        <f t="shared" si="0"/>
        <v>2.1999999999999999E-2</v>
      </c>
      <c r="F6" s="1" t="s">
        <v>132</v>
      </c>
      <c r="G6" s="1">
        <v>91</v>
      </c>
      <c r="H6" s="1">
        <v>95</v>
      </c>
      <c r="I6" s="10" t="str">
        <f t="shared" si="1"/>
        <v>최우수</v>
      </c>
    </row>
    <row r="7" spans="1:10" x14ac:dyDescent="0.45">
      <c r="A7" s="1" t="s">
        <v>14</v>
      </c>
      <c r="B7" s="1" t="s">
        <v>15</v>
      </c>
      <c r="C7" s="2">
        <v>10000000</v>
      </c>
      <c r="D7" s="3">
        <f t="shared" si="0"/>
        <v>0.03</v>
      </c>
      <c r="F7" s="1" t="s">
        <v>133</v>
      </c>
      <c r="G7" s="1">
        <v>59</v>
      </c>
      <c r="H7" s="1">
        <v>43</v>
      </c>
      <c r="I7" s="10" t="str">
        <f t="shared" si="1"/>
        <v>노력</v>
      </c>
    </row>
    <row r="8" spans="1:10" x14ac:dyDescent="0.45">
      <c r="A8" s="1" t="s">
        <v>16</v>
      </c>
      <c r="B8" s="1" t="s">
        <v>17</v>
      </c>
      <c r="C8" s="2">
        <v>90000000</v>
      </c>
      <c r="D8" s="3">
        <f t="shared" si="0"/>
        <v>4.2000000000000003E-2</v>
      </c>
      <c r="F8" s="1" t="s">
        <v>134</v>
      </c>
      <c r="G8" s="1">
        <v>67</v>
      </c>
      <c r="H8" s="1">
        <v>64</v>
      </c>
      <c r="I8" s="10" t="str">
        <f t="shared" si="1"/>
        <v>보통</v>
      </c>
    </row>
    <row r="9" spans="1:10" x14ac:dyDescent="0.45">
      <c r="A9" s="1" t="s">
        <v>18</v>
      </c>
      <c r="B9" s="1" t="s">
        <v>19</v>
      </c>
      <c r="C9" s="2">
        <v>4500000</v>
      </c>
      <c r="D9" s="3">
        <f t="shared" si="0"/>
        <v>0.03</v>
      </c>
      <c r="F9" s="1" t="s">
        <v>135</v>
      </c>
      <c r="G9" s="1">
        <v>88</v>
      </c>
      <c r="H9" s="1">
        <v>85</v>
      </c>
      <c r="I9" s="10" t="str">
        <f t="shared" si="1"/>
        <v>우수</v>
      </c>
    </row>
    <row r="11" spans="1:10" x14ac:dyDescent="0.45">
      <c r="A11" s="1" t="s">
        <v>20</v>
      </c>
      <c r="B11" s="1" t="s">
        <v>21</v>
      </c>
      <c r="C11" s="1" t="s">
        <v>3</v>
      </c>
      <c r="F11" s="7" t="s">
        <v>124</v>
      </c>
    </row>
    <row r="12" spans="1:10" x14ac:dyDescent="0.45">
      <c r="A12" s="1" t="s">
        <v>22</v>
      </c>
      <c r="B12" s="1" t="s">
        <v>23</v>
      </c>
      <c r="C12" s="6">
        <v>2.1999999999999999E-2</v>
      </c>
      <c r="F12" s="13" t="s">
        <v>120</v>
      </c>
      <c r="G12" s="1">
        <v>0</v>
      </c>
      <c r="H12" s="1">
        <v>60</v>
      </c>
      <c r="I12" s="1">
        <v>80</v>
      </c>
      <c r="J12" s="1">
        <v>90</v>
      </c>
    </row>
    <row r="13" spans="1:10" x14ac:dyDescent="0.45">
      <c r="A13" s="1" t="s">
        <v>24</v>
      </c>
      <c r="B13" s="1" t="s">
        <v>25</v>
      </c>
      <c r="C13" s="6">
        <v>0.03</v>
      </c>
      <c r="F13" s="14"/>
      <c r="G13" s="1">
        <v>59</v>
      </c>
      <c r="H13" s="1">
        <v>79</v>
      </c>
      <c r="I13" s="1">
        <v>89</v>
      </c>
      <c r="J13" s="1">
        <v>100</v>
      </c>
    </row>
    <row r="14" spans="1:10" x14ac:dyDescent="0.45">
      <c r="A14" s="1" t="s">
        <v>26</v>
      </c>
      <c r="B14" s="1" t="s">
        <v>27</v>
      </c>
      <c r="C14" s="6">
        <v>4.2000000000000003E-2</v>
      </c>
      <c r="F14" s="1" t="s">
        <v>118</v>
      </c>
      <c r="G14" s="10" t="s">
        <v>121</v>
      </c>
      <c r="H14" s="10" t="s">
        <v>122</v>
      </c>
      <c r="I14" s="10" t="s">
        <v>123</v>
      </c>
      <c r="J14" s="10" t="s">
        <v>125</v>
      </c>
    </row>
    <row r="16" spans="1:10" x14ac:dyDescent="0.45">
      <c r="A16" s="7" t="s">
        <v>70</v>
      </c>
      <c r="B16" s="5" t="s">
        <v>71</v>
      </c>
      <c r="F16" s="7" t="s">
        <v>72</v>
      </c>
      <c r="G16" s="5" t="s">
        <v>73</v>
      </c>
    </row>
    <row r="17" spans="1:9" x14ac:dyDescent="0.45">
      <c r="A17" s="1" t="s">
        <v>28</v>
      </c>
      <c r="B17" s="1" t="s">
        <v>29</v>
      </c>
      <c r="C17" s="1" t="s">
        <v>30</v>
      </c>
      <c r="D17" s="4" t="s">
        <v>31</v>
      </c>
      <c r="F17" s="1" t="s">
        <v>32</v>
      </c>
      <c r="G17" s="1" t="s">
        <v>30</v>
      </c>
      <c r="H17" s="1" t="s">
        <v>28</v>
      </c>
      <c r="I17" s="4" t="s">
        <v>33</v>
      </c>
    </row>
    <row r="18" spans="1:9" x14ac:dyDescent="0.45">
      <c r="A18" s="1" t="s">
        <v>34</v>
      </c>
      <c r="B18" s="1" t="s">
        <v>35</v>
      </c>
      <c r="C18" s="1">
        <v>89</v>
      </c>
      <c r="D18" s="1" t="str">
        <f>CHOOSE(_xlfn.RANK.EQ(C18,$C$18:$C$24),"최우수","우수","보통","노력","노력","노력","노력")</f>
        <v>노력</v>
      </c>
      <c r="F18" s="1" t="s">
        <v>36</v>
      </c>
      <c r="G18" s="1">
        <v>85</v>
      </c>
      <c r="H18" s="1" t="s">
        <v>37</v>
      </c>
      <c r="I18" s="1" t="str">
        <f>VLOOKUP(LARGE(G18:G26,3),G18:H26,2,FALSE)</f>
        <v>도지영</v>
      </c>
    </row>
    <row r="19" spans="1:9" x14ac:dyDescent="0.45">
      <c r="A19" s="1" t="s">
        <v>39</v>
      </c>
      <c r="B19" s="1" t="s">
        <v>35</v>
      </c>
      <c r="C19" s="1">
        <v>94</v>
      </c>
      <c r="D19" s="1" t="str">
        <f t="shared" ref="D19:D24" si="2">CHOOSE(_xlfn.RANK.EQ(C19,$C$18:$C$24),"최우수","우수","보통","노력","노력","노력","노력")</f>
        <v>보통</v>
      </c>
      <c r="F19" s="1" t="s">
        <v>40</v>
      </c>
      <c r="G19" s="1">
        <v>56</v>
      </c>
      <c r="H19" s="1" t="s">
        <v>41</v>
      </c>
    </row>
    <row r="20" spans="1:9" x14ac:dyDescent="0.45">
      <c r="A20" s="1" t="s">
        <v>42</v>
      </c>
      <c r="B20" s="1" t="s">
        <v>43</v>
      </c>
      <c r="C20" s="1">
        <v>83</v>
      </c>
      <c r="D20" s="1" t="str">
        <f t="shared" si="2"/>
        <v>노력</v>
      </c>
      <c r="F20" s="1" t="s">
        <v>44</v>
      </c>
      <c r="G20" s="1">
        <v>90</v>
      </c>
      <c r="H20" s="1" t="s">
        <v>38</v>
      </c>
    </row>
    <row r="21" spans="1:9" x14ac:dyDescent="0.45">
      <c r="A21" s="1" t="s">
        <v>45</v>
      </c>
      <c r="B21" s="1" t="s">
        <v>43</v>
      </c>
      <c r="C21" s="1">
        <v>94</v>
      </c>
      <c r="D21" s="1" t="str">
        <f t="shared" si="2"/>
        <v>보통</v>
      </c>
      <c r="F21" s="1" t="s">
        <v>46</v>
      </c>
      <c r="G21" s="1">
        <v>78</v>
      </c>
      <c r="H21" s="1" t="s">
        <v>47</v>
      </c>
    </row>
    <row r="22" spans="1:9" x14ac:dyDescent="0.45">
      <c r="A22" s="1" t="s">
        <v>48</v>
      </c>
      <c r="B22" s="1" t="s">
        <v>35</v>
      </c>
      <c r="C22" s="1">
        <v>95</v>
      </c>
      <c r="D22" s="1" t="str">
        <f t="shared" si="2"/>
        <v>우수</v>
      </c>
      <c r="F22" s="1" t="s">
        <v>49</v>
      </c>
      <c r="G22" s="1">
        <v>53</v>
      </c>
      <c r="H22" s="1" t="s">
        <v>50</v>
      </c>
    </row>
    <row r="23" spans="1:9" x14ac:dyDescent="0.45">
      <c r="A23" s="1" t="s">
        <v>51</v>
      </c>
      <c r="B23" s="1" t="s">
        <v>43</v>
      </c>
      <c r="C23" s="1">
        <v>96</v>
      </c>
      <c r="D23" s="1" t="str">
        <f t="shared" si="2"/>
        <v>최우수</v>
      </c>
      <c r="F23" s="1" t="s">
        <v>52</v>
      </c>
      <c r="G23" s="1">
        <v>45</v>
      </c>
      <c r="H23" s="1" t="s">
        <v>53</v>
      </c>
    </row>
    <row r="24" spans="1:9" x14ac:dyDescent="0.45">
      <c r="A24" s="1" t="s">
        <v>54</v>
      </c>
      <c r="B24" s="1" t="s">
        <v>35</v>
      </c>
      <c r="C24" s="1">
        <v>79</v>
      </c>
      <c r="D24" s="1" t="str">
        <f t="shared" si="2"/>
        <v>노력</v>
      </c>
      <c r="F24" s="1" t="s">
        <v>55</v>
      </c>
      <c r="G24" s="1">
        <v>98</v>
      </c>
      <c r="H24" s="1" t="s">
        <v>56</v>
      </c>
    </row>
    <row r="25" spans="1:9" x14ac:dyDescent="0.45">
      <c r="F25" s="1" t="s">
        <v>57</v>
      </c>
      <c r="G25" s="1">
        <v>86</v>
      </c>
      <c r="H25" s="1" t="s">
        <v>58</v>
      </c>
    </row>
    <row r="26" spans="1:9" x14ac:dyDescent="0.45">
      <c r="A26" s="12" t="s">
        <v>115</v>
      </c>
      <c r="B26" s="12"/>
      <c r="C26" s="12"/>
      <c r="D26" s="1">
        <f>SUMIF(D18:D24,"노력",C18:C24)</f>
        <v>251</v>
      </c>
      <c r="F26" s="1" t="s">
        <v>59</v>
      </c>
      <c r="G26" s="1">
        <v>100</v>
      </c>
      <c r="H26" s="1" t="s">
        <v>60</v>
      </c>
    </row>
    <row r="28" spans="1:9" x14ac:dyDescent="0.45">
      <c r="A28" t="s">
        <v>74</v>
      </c>
      <c r="B28" s="5" t="s">
        <v>75</v>
      </c>
    </row>
    <row r="29" spans="1:9" x14ac:dyDescent="0.45">
      <c r="A29" s="1" t="s">
        <v>61</v>
      </c>
      <c r="B29" s="1" t="s">
        <v>62</v>
      </c>
      <c r="C29" s="1" t="s">
        <v>63</v>
      </c>
      <c r="D29" s="4" t="s">
        <v>114</v>
      </c>
    </row>
    <row r="30" spans="1:9" x14ac:dyDescent="0.45">
      <c r="A30" s="1" t="s">
        <v>64</v>
      </c>
      <c r="B30" s="1">
        <v>255</v>
      </c>
      <c r="C30" s="1">
        <v>24</v>
      </c>
      <c r="D30" s="1" t="str">
        <f>INT(B30/C30)&amp;"("&amp;MOD(B30,C30)&amp;")"</f>
        <v>10(15)</v>
      </c>
    </row>
    <row r="31" spans="1:9" x14ac:dyDescent="0.45">
      <c r="A31" s="1" t="s">
        <v>65</v>
      </c>
      <c r="B31" s="1">
        <v>185</v>
      </c>
      <c r="C31" s="1">
        <v>35</v>
      </c>
      <c r="D31" s="1" t="str">
        <f t="shared" ref="D31:D32" si="3">INT(B31/C31)&amp;"("&amp;MOD(B31,C31)&amp;")"</f>
        <v>5(10)</v>
      </c>
    </row>
    <row r="32" spans="1:9" x14ac:dyDescent="0.45">
      <c r="A32" s="1" t="s">
        <v>66</v>
      </c>
      <c r="B32" s="1">
        <v>330</v>
      </c>
      <c r="C32" s="1">
        <v>25</v>
      </c>
      <c r="D32" s="1" t="str">
        <f t="shared" si="3"/>
        <v>13(5)</v>
      </c>
    </row>
  </sheetData>
  <mergeCells count="2">
    <mergeCell ref="A26:C26"/>
    <mergeCell ref="F12:F13"/>
  </mergeCells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DA8908-2A71-47E8-B39C-A4B92BA0B2EC}">
  <dimension ref="A1:J31"/>
  <sheetViews>
    <sheetView workbookViewId="0"/>
  </sheetViews>
  <sheetFormatPr defaultRowHeight="17" x14ac:dyDescent="0.45"/>
  <cols>
    <col min="1" max="3" width="8.6640625" customWidth="1"/>
    <col min="4" max="4" width="14.08203125" bestFit="1" customWidth="1"/>
    <col min="5" max="5" width="5.58203125" customWidth="1"/>
    <col min="7" max="7" width="11.08203125" customWidth="1"/>
    <col min="8" max="9" width="9.08203125" bestFit="1" customWidth="1"/>
  </cols>
  <sheetData>
    <row r="1" spans="1:10" x14ac:dyDescent="0.45">
      <c r="A1" t="s">
        <v>108</v>
      </c>
      <c r="B1" s="5" t="s">
        <v>109</v>
      </c>
      <c r="F1" t="s">
        <v>110</v>
      </c>
      <c r="G1" s="5" t="s">
        <v>111</v>
      </c>
    </row>
    <row r="2" spans="1:10" x14ac:dyDescent="0.45">
      <c r="A2" s="1" t="s">
        <v>32</v>
      </c>
      <c r="B2" s="1" t="s">
        <v>28</v>
      </c>
      <c r="C2" s="1" t="s">
        <v>76</v>
      </c>
      <c r="D2" s="4" t="s">
        <v>77</v>
      </c>
      <c r="F2" s="1" t="s">
        <v>78</v>
      </c>
      <c r="G2" s="1" t="s">
        <v>136</v>
      </c>
      <c r="H2" s="1" t="s">
        <v>4</v>
      </c>
      <c r="I2" s="1" t="s">
        <v>5</v>
      </c>
      <c r="J2" s="4" t="s">
        <v>79</v>
      </c>
    </row>
    <row r="3" spans="1:10" x14ac:dyDescent="0.45">
      <c r="A3" s="1" t="s">
        <v>80</v>
      </c>
      <c r="B3" s="1" t="s">
        <v>81</v>
      </c>
      <c r="C3" s="1">
        <v>12</v>
      </c>
      <c r="D3" s="1" t="str">
        <f>CHOOSE(RIGHT(A3,1),"영업부","인사부","총무부","기획부")</f>
        <v>영업부</v>
      </c>
      <c r="F3" s="1" t="s">
        <v>82</v>
      </c>
      <c r="G3" s="2">
        <v>2550</v>
      </c>
      <c r="H3" s="1">
        <v>55</v>
      </c>
      <c r="I3" s="2">
        <v>140250</v>
      </c>
      <c r="J3" s="2">
        <f>ROUNDUP(I3*HLOOKUP(H3,$G$10:$I$11,2),-2)</f>
        <v>4300</v>
      </c>
    </row>
    <row r="4" spans="1:10" x14ac:dyDescent="0.45">
      <c r="A4" s="1" t="s">
        <v>83</v>
      </c>
      <c r="B4" s="1" t="s">
        <v>84</v>
      </c>
      <c r="C4" s="1">
        <v>13</v>
      </c>
      <c r="D4" s="1" t="str">
        <f t="shared" ref="D4:D10" si="0">CHOOSE(RIGHT(A4,1),"영업부","인사부","총무부","기획부")</f>
        <v>인사부</v>
      </c>
      <c r="F4" s="1" t="s">
        <v>85</v>
      </c>
      <c r="G4" s="2">
        <v>12350</v>
      </c>
      <c r="H4" s="1">
        <v>65</v>
      </c>
      <c r="I4" s="2">
        <v>802750</v>
      </c>
      <c r="J4" s="2">
        <f t="shared" ref="J4:J7" si="1">ROUNDUP(I4*HLOOKUP(H4,$G$10:$I$11,2),-2)</f>
        <v>24100</v>
      </c>
    </row>
    <row r="5" spans="1:10" x14ac:dyDescent="0.45">
      <c r="A5" s="1" t="s">
        <v>86</v>
      </c>
      <c r="B5" s="1" t="s">
        <v>87</v>
      </c>
      <c r="C5" s="1">
        <v>8</v>
      </c>
      <c r="D5" s="1" t="str">
        <f t="shared" si="0"/>
        <v>총무부</v>
      </c>
      <c r="F5" s="1" t="s">
        <v>88</v>
      </c>
      <c r="G5" s="2">
        <v>3450</v>
      </c>
      <c r="H5" s="1">
        <v>60</v>
      </c>
      <c r="I5" s="2">
        <v>207000</v>
      </c>
      <c r="J5" s="2">
        <f t="shared" si="1"/>
        <v>6300</v>
      </c>
    </row>
    <row r="6" spans="1:10" x14ac:dyDescent="0.45">
      <c r="A6" s="1" t="s">
        <v>89</v>
      </c>
      <c r="B6" s="1" t="s">
        <v>90</v>
      </c>
      <c r="C6" s="1">
        <v>15</v>
      </c>
      <c r="D6" s="1" t="str">
        <f t="shared" si="0"/>
        <v>인사부</v>
      </c>
      <c r="F6" s="1" t="s">
        <v>91</v>
      </c>
      <c r="G6" s="2">
        <v>765</v>
      </c>
      <c r="H6" s="1">
        <v>100</v>
      </c>
      <c r="I6" s="2">
        <v>76500</v>
      </c>
      <c r="J6" s="2">
        <f t="shared" si="1"/>
        <v>4600</v>
      </c>
    </row>
    <row r="7" spans="1:10" x14ac:dyDescent="0.45">
      <c r="A7" s="1" t="s">
        <v>92</v>
      </c>
      <c r="B7" s="1" t="s">
        <v>93</v>
      </c>
      <c r="C7" s="1">
        <v>19</v>
      </c>
      <c r="D7" s="1" t="str">
        <f t="shared" si="0"/>
        <v>총무부</v>
      </c>
      <c r="F7" s="1" t="s">
        <v>94</v>
      </c>
      <c r="G7" s="2">
        <v>7650</v>
      </c>
      <c r="H7" s="1">
        <v>77</v>
      </c>
      <c r="I7" s="2">
        <v>589050</v>
      </c>
      <c r="J7" s="2">
        <f t="shared" si="1"/>
        <v>35400</v>
      </c>
    </row>
    <row r="8" spans="1:10" x14ac:dyDescent="0.45">
      <c r="A8" s="1" t="s">
        <v>95</v>
      </c>
      <c r="B8" s="1" t="s">
        <v>96</v>
      </c>
      <c r="C8" s="1">
        <v>28</v>
      </c>
      <c r="D8" s="1" t="str">
        <f t="shared" si="0"/>
        <v>기획부</v>
      </c>
    </row>
    <row r="9" spans="1:10" x14ac:dyDescent="0.45">
      <c r="A9" s="1" t="s">
        <v>80</v>
      </c>
      <c r="B9" s="1" t="s">
        <v>97</v>
      </c>
      <c r="C9" s="1">
        <v>18</v>
      </c>
      <c r="D9" s="1" t="str">
        <f t="shared" si="0"/>
        <v>영업부</v>
      </c>
      <c r="F9" t="s">
        <v>98</v>
      </c>
    </row>
    <row r="10" spans="1:10" x14ac:dyDescent="0.45">
      <c r="A10" s="1" t="s">
        <v>116</v>
      </c>
      <c r="B10" s="1" t="s">
        <v>117</v>
      </c>
      <c r="C10" s="1">
        <v>9</v>
      </c>
      <c r="D10" s="1" t="str">
        <f t="shared" si="0"/>
        <v>인사부</v>
      </c>
      <c r="F10" s="1" t="s">
        <v>4</v>
      </c>
      <c r="G10" s="1">
        <v>1</v>
      </c>
      <c r="H10" s="1">
        <v>40</v>
      </c>
      <c r="I10" s="1">
        <v>70</v>
      </c>
    </row>
    <row r="11" spans="1:10" x14ac:dyDescent="0.45">
      <c r="F11" s="1" t="s">
        <v>99</v>
      </c>
      <c r="G11" s="8">
        <v>0</v>
      </c>
      <c r="H11" s="8">
        <v>0.03</v>
      </c>
      <c r="I11" s="8">
        <v>0.06</v>
      </c>
    </row>
    <row r="12" spans="1:10" x14ac:dyDescent="0.45">
      <c r="A12" t="s">
        <v>112</v>
      </c>
      <c r="B12" s="5" t="s">
        <v>152</v>
      </c>
    </row>
    <row r="13" spans="1:10" x14ac:dyDescent="0.45">
      <c r="A13" s="1" t="s">
        <v>100</v>
      </c>
      <c r="B13" s="1" t="s">
        <v>164</v>
      </c>
      <c r="C13" s="1" t="s">
        <v>167</v>
      </c>
      <c r="D13" s="4" t="s">
        <v>155</v>
      </c>
      <c r="F13" t="s">
        <v>153</v>
      </c>
    </row>
    <row r="14" spans="1:10" x14ac:dyDescent="0.45">
      <c r="A14" s="1" t="s">
        <v>101</v>
      </c>
      <c r="B14" s="1" t="s">
        <v>165</v>
      </c>
      <c r="C14" s="9" t="s">
        <v>168</v>
      </c>
      <c r="D14" s="1" t="str">
        <f>UPPER(VLOOKUP(LEFT(C14,1),$F$15:$G$18,2,FALSE))</f>
        <v>SOFTWARE</v>
      </c>
      <c r="F14" s="1" t="s">
        <v>154</v>
      </c>
      <c r="G14" s="1" t="s">
        <v>155</v>
      </c>
    </row>
    <row r="15" spans="1:10" x14ac:dyDescent="0.45">
      <c r="A15" s="1" t="s">
        <v>102</v>
      </c>
      <c r="B15" s="1" t="s">
        <v>166</v>
      </c>
      <c r="C15" s="9" t="s">
        <v>169</v>
      </c>
      <c r="D15" s="1" t="str">
        <f t="shared" ref="D15:D20" si="2">UPPER(VLOOKUP(LEFT(C15,1),$F$15:$G$18,2,FALSE))</f>
        <v>ELECTRONIC</v>
      </c>
      <c r="F15" s="1" t="s">
        <v>156</v>
      </c>
      <c r="G15" s="1" t="s">
        <v>160</v>
      </c>
    </row>
    <row r="16" spans="1:10" x14ac:dyDescent="0.45">
      <c r="A16" s="1" t="s">
        <v>103</v>
      </c>
      <c r="B16" s="1" t="s">
        <v>166</v>
      </c>
      <c r="C16" s="9" t="s">
        <v>170</v>
      </c>
      <c r="D16" s="1" t="str">
        <f t="shared" si="2"/>
        <v>BUSINESS</v>
      </c>
      <c r="F16" s="1" t="s">
        <v>157</v>
      </c>
      <c r="G16" s="1" t="s">
        <v>161</v>
      </c>
    </row>
    <row r="17" spans="1:10" x14ac:dyDescent="0.45">
      <c r="A17" s="1" t="s">
        <v>104</v>
      </c>
      <c r="B17" s="1" t="s">
        <v>165</v>
      </c>
      <c r="C17" s="9" t="s">
        <v>171</v>
      </c>
      <c r="D17" s="1" t="str">
        <f t="shared" si="2"/>
        <v>ARCHITECTURE</v>
      </c>
      <c r="F17" s="1" t="s">
        <v>158</v>
      </c>
      <c r="G17" s="1" t="s">
        <v>162</v>
      </c>
    </row>
    <row r="18" spans="1:10" x14ac:dyDescent="0.45">
      <c r="A18" s="1" t="s">
        <v>105</v>
      </c>
      <c r="B18" s="1" t="s">
        <v>165</v>
      </c>
      <c r="C18" s="9" t="s">
        <v>172</v>
      </c>
      <c r="D18" s="1" t="str">
        <f t="shared" si="2"/>
        <v>ELECTRONIC</v>
      </c>
      <c r="F18" s="1" t="s">
        <v>159</v>
      </c>
      <c r="G18" s="1" t="s">
        <v>163</v>
      </c>
    </row>
    <row r="19" spans="1:10" x14ac:dyDescent="0.45">
      <c r="A19" s="1" t="s">
        <v>106</v>
      </c>
      <c r="B19" s="1" t="s">
        <v>166</v>
      </c>
      <c r="C19" s="9" t="s">
        <v>173</v>
      </c>
      <c r="D19" s="1" t="str">
        <f t="shared" si="2"/>
        <v>SOFTWARE</v>
      </c>
    </row>
    <row r="20" spans="1:10" x14ac:dyDescent="0.45">
      <c r="A20" s="1" t="s">
        <v>107</v>
      </c>
      <c r="B20" s="1" t="s">
        <v>165</v>
      </c>
      <c r="C20" s="9" t="s">
        <v>174</v>
      </c>
      <c r="D20" s="1" t="str">
        <f t="shared" si="2"/>
        <v>BUSINESS</v>
      </c>
    </row>
    <row r="22" spans="1:10" x14ac:dyDescent="0.45">
      <c r="A22" t="s">
        <v>113</v>
      </c>
      <c r="B22" s="5" t="s">
        <v>140</v>
      </c>
      <c r="F22" t="s">
        <v>74</v>
      </c>
      <c r="G22" s="11" t="s">
        <v>175</v>
      </c>
    </row>
    <row r="23" spans="1:10" x14ac:dyDescent="0.45">
      <c r="A23" s="1" t="s">
        <v>137</v>
      </c>
      <c r="B23" s="1" t="s">
        <v>138</v>
      </c>
      <c r="C23" s="1" t="s">
        <v>151</v>
      </c>
      <c r="D23" s="1" t="s">
        <v>139</v>
      </c>
      <c r="F23" s="1" t="s">
        <v>188</v>
      </c>
      <c r="G23" s="1" t="s">
        <v>176</v>
      </c>
      <c r="H23" s="1" t="s">
        <v>177</v>
      </c>
    </row>
    <row r="24" spans="1:10" x14ac:dyDescent="0.45">
      <c r="A24" s="1" t="s">
        <v>141</v>
      </c>
      <c r="B24" s="1" t="s">
        <v>148</v>
      </c>
      <c r="C24" s="10">
        <v>14</v>
      </c>
      <c r="D24" s="2">
        <v>4350000</v>
      </c>
      <c r="F24" s="1" t="s">
        <v>178</v>
      </c>
      <c r="G24" s="1" t="s">
        <v>179</v>
      </c>
      <c r="H24" s="2">
        <v>360000</v>
      </c>
    </row>
    <row r="25" spans="1:10" x14ac:dyDescent="0.45">
      <c r="A25" s="1" t="s">
        <v>142</v>
      </c>
      <c r="B25" s="1" t="s">
        <v>149</v>
      </c>
      <c r="C25" s="10">
        <v>12</v>
      </c>
      <c r="D25" s="2">
        <v>4100000</v>
      </c>
      <c r="F25" s="1" t="s">
        <v>182</v>
      </c>
      <c r="G25" s="1" t="s">
        <v>180</v>
      </c>
      <c r="H25" s="2">
        <v>210000</v>
      </c>
    </row>
    <row r="26" spans="1:10" x14ac:dyDescent="0.45">
      <c r="A26" s="1" t="s">
        <v>143</v>
      </c>
      <c r="B26" s="1" t="s">
        <v>148</v>
      </c>
      <c r="C26" s="10">
        <v>11</v>
      </c>
      <c r="D26" s="2">
        <v>3900000</v>
      </c>
      <c r="F26" s="1" t="s">
        <v>181</v>
      </c>
      <c r="G26" s="1" t="s">
        <v>180</v>
      </c>
      <c r="H26" s="2">
        <v>225000</v>
      </c>
    </row>
    <row r="27" spans="1:10" x14ac:dyDescent="0.45">
      <c r="A27" s="1" t="s">
        <v>144</v>
      </c>
      <c r="B27" s="1" t="s">
        <v>148</v>
      </c>
      <c r="C27" s="10">
        <v>8</v>
      </c>
      <c r="D27" s="2">
        <v>3500000</v>
      </c>
      <c r="F27" s="1" t="s">
        <v>183</v>
      </c>
      <c r="G27" s="1" t="s">
        <v>179</v>
      </c>
      <c r="H27" s="2">
        <v>385000</v>
      </c>
    </row>
    <row r="28" spans="1:10" x14ac:dyDescent="0.45">
      <c r="A28" s="1" t="s">
        <v>145</v>
      </c>
      <c r="B28" s="1" t="s">
        <v>149</v>
      </c>
      <c r="C28" s="10">
        <v>7</v>
      </c>
      <c r="D28" s="2">
        <v>3450000</v>
      </c>
      <c r="F28" s="1" t="s">
        <v>184</v>
      </c>
      <c r="G28" s="1" t="s">
        <v>179</v>
      </c>
      <c r="H28" s="2">
        <v>420000</v>
      </c>
    </row>
    <row r="29" spans="1:10" ht="17" customHeight="1" x14ac:dyDescent="0.45">
      <c r="A29" s="1" t="s">
        <v>146</v>
      </c>
      <c r="B29" s="1" t="s">
        <v>149</v>
      </c>
      <c r="C29" s="10">
        <v>6</v>
      </c>
      <c r="D29" s="2">
        <v>3200000</v>
      </c>
      <c r="F29" s="1" t="s">
        <v>185</v>
      </c>
      <c r="G29" s="1" t="s">
        <v>180</v>
      </c>
      <c r="H29" s="2">
        <v>215000</v>
      </c>
      <c r="I29" s="20" t="s">
        <v>189</v>
      </c>
      <c r="J29" s="12"/>
    </row>
    <row r="30" spans="1:10" x14ac:dyDescent="0.45">
      <c r="A30" s="1" t="s">
        <v>147</v>
      </c>
      <c r="B30" s="1" t="s">
        <v>148</v>
      </c>
      <c r="C30" s="10">
        <v>3</v>
      </c>
      <c r="D30" s="2">
        <v>2750000</v>
      </c>
      <c r="F30" s="1" t="s">
        <v>186</v>
      </c>
      <c r="G30" s="1" t="s">
        <v>179</v>
      </c>
      <c r="H30" s="2">
        <v>465000</v>
      </c>
      <c r="I30" s="12"/>
      <c r="J30" s="12"/>
    </row>
    <row r="31" spans="1:10" x14ac:dyDescent="0.45">
      <c r="A31" s="15" t="s">
        <v>150</v>
      </c>
      <c r="B31" s="16"/>
      <c r="C31" s="17"/>
      <c r="D31" s="2">
        <f>SUMIFS(D24:D30,B24:B30,"홍보부",C24:C30,"&gt;=10")</f>
        <v>8250000</v>
      </c>
      <c r="F31" s="1" t="s">
        <v>187</v>
      </c>
      <c r="G31" s="1" t="s">
        <v>179</v>
      </c>
      <c r="H31" s="2">
        <v>390000</v>
      </c>
      <c r="I31" s="18" t="str">
        <f>INDEX(F24:F31,MATCH(DMAX(F23:H31,3,G23:G24),H24:H31,0),1)</f>
        <v>유명산업</v>
      </c>
      <c r="J31" s="19"/>
    </row>
  </sheetData>
  <mergeCells count="3">
    <mergeCell ref="A31:C31"/>
    <mergeCell ref="I31:J31"/>
    <mergeCell ref="I29:J30"/>
  </mergeCells>
  <phoneticPr fontId="1" type="noConversion"/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무작정따라하기</vt:lpstr>
      <vt:lpstr>기출01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시나공</dc:creator>
  <cp:lastModifiedBy>김종일</cp:lastModifiedBy>
  <dcterms:created xsi:type="dcterms:W3CDTF">2023-04-27T02:31:42Z</dcterms:created>
  <dcterms:modified xsi:type="dcterms:W3CDTF">2024-07-22T01:04:50Z</dcterms:modified>
</cp:coreProperties>
</file>