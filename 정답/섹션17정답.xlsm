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02_컴활2급실기\길벗컴활2급\01 섹션\"/>
    </mc:Choice>
  </mc:AlternateContent>
  <xr:revisionPtr revIDLastSave="0" documentId="13_ncr:1_{2D9EF034-8E3D-4805-BBCF-A2E975A78DFD}" xr6:coauthVersionLast="47" xr6:coauthVersionMax="47" xr10:uidLastSave="{00000000-0000-0000-0000-000000000000}"/>
  <bookViews>
    <workbookView xWindow="2580" yWindow="2580" windowWidth="18700" windowHeight="15300" xr2:uid="{EE757160-5024-4120-A609-A74D9106D7A4}"/>
  </bookViews>
  <sheets>
    <sheet name="무작정따라하기" sheetId="6" r:id="rId1"/>
    <sheet name="기출01" sheetId="11" r:id="rId2"/>
    <sheet name="기출02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11" l="1"/>
  <c r="G14" i="11"/>
  <c r="F14" i="11"/>
  <c r="E14" i="11"/>
  <c r="J13" i="11"/>
  <c r="I13" i="11"/>
  <c r="J12" i="11"/>
  <c r="I12" i="11"/>
  <c r="J11" i="11"/>
  <c r="I11" i="11"/>
  <c r="J10" i="11"/>
  <c r="I10" i="11"/>
  <c r="J9" i="11"/>
  <c r="I9" i="11"/>
  <c r="J8" i="11"/>
  <c r="I8" i="11"/>
  <c r="J7" i="11"/>
  <c r="I7" i="11"/>
  <c r="J6" i="11"/>
  <c r="I6" i="11"/>
  <c r="J5" i="11"/>
  <c r="I5" i="11"/>
  <c r="J4" i="11"/>
  <c r="I4" i="11"/>
  <c r="I14" i="11" s="1"/>
  <c r="H4" i="5" l="1"/>
  <c r="H5" i="5"/>
  <c r="H6" i="5"/>
  <c r="H7" i="5"/>
  <c r="H8" i="5"/>
  <c r="H9" i="5"/>
  <c r="H10" i="5"/>
  <c r="H3" i="5"/>
  <c r="F10" i="6" l="1"/>
  <c r="E10" i="6"/>
</calcChain>
</file>

<file path=xl/sharedStrings.xml><?xml version="1.0" encoding="utf-8"?>
<sst xmlns="http://schemas.openxmlformats.org/spreadsheetml/2006/main" count="100" uniqueCount="71">
  <si>
    <t>7월 문구 생산현황</t>
    <phoneticPr fontId="1" type="noConversion"/>
  </si>
  <si>
    <t xml:space="preserve">품명 </t>
  </si>
  <si>
    <t>생산량</t>
  </si>
  <si>
    <t>원가</t>
  </si>
  <si>
    <t>불량률</t>
  </si>
  <si>
    <t>생산비용</t>
  </si>
  <si>
    <t>목표매출액</t>
  </si>
  <si>
    <t>볼펜</t>
  </si>
  <si>
    <t>형광펜</t>
  </si>
  <si>
    <t>합계</t>
    <phoneticPr fontId="1" type="noConversion"/>
  </si>
  <si>
    <t>가위</t>
    <phoneticPr fontId="1" type="noConversion"/>
  </si>
  <si>
    <t>커터칼</t>
    <phoneticPr fontId="1" type="noConversion"/>
  </si>
  <si>
    <t>테이프</t>
    <phoneticPr fontId="1" type="noConversion"/>
  </si>
  <si>
    <t>포스트잇</t>
    <phoneticPr fontId="1" type="noConversion"/>
  </si>
  <si>
    <t>컴퓨터개론 성적 일람표</t>
    <phoneticPr fontId="1" type="noConversion"/>
  </si>
  <si>
    <t>학번</t>
  </si>
  <si>
    <t>이름</t>
  </si>
  <si>
    <t>학과</t>
  </si>
  <si>
    <t>성별</t>
  </si>
  <si>
    <t>중간</t>
  </si>
  <si>
    <t>기말</t>
  </si>
  <si>
    <t>출석</t>
  </si>
  <si>
    <t>과제</t>
  </si>
  <si>
    <t>총점</t>
  </si>
  <si>
    <t>W001</t>
  </si>
  <si>
    <t>도자기</t>
  </si>
  <si>
    <t>웹디자인과</t>
  </si>
  <si>
    <t>남</t>
  </si>
  <si>
    <t>S002</t>
  </si>
  <si>
    <t>이용실</t>
  </si>
  <si>
    <t>사무자동화과</t>
  </si>
  <si>
    <t>S003</t>
  </si>
  <si>
    <t>차새대</t>
  </si>
  <si>
    <t>여</t>
  </si>
  <si>
    <t>W002</t>
  </si>
  <si>
    <t>정든별</t>
  </si>
  <si>
    <t>S001</t>
  </si>
  <si>
    <t>박달재</t>
  </si>
  <si>
    <t>J001</t>
  </si>
  <si>
    <t>강정국</t>
  </si>
  <si>
    <t>정보처리과</t>
  </si>
  <si>
    <t>J003</t>
  </si>
  <si>
    <t>송지연</t>
  </si>
  <si>
    <t>W003</t>
  </si>
  <si>
    <t>황무지</t>
  </si>
  <si>
    <t>J004</t>
  </si>
  <si>
    <t>장승목</t>
  </si>
  <si>
    <t>J002</t>
  </si>
  <si>
    <t>나자윤</t>
  </si>
  <si>
    <t>평균</t>
    <phoneticPr fontId="1" type="noConversion"/>
  </si>
  <si>
    <t>㈜ 대구상사 사원별 영업실적</t>
    <phoneticPr fontId="1" type="noConversion"/>
  </si>
  <si>
    <t>영업2부 영업실적</t>
    <phoneticPr fontId="1" type="noConversion"/>
  </si>
  <si>
    <t>사번</t>
  </si>
  <si>
    <t>직책</t>
  </si>
  <si>
    <t>부서</t>
  </si>
  <si>
    <t>1월</t>
  </si>
  <si>
    <t>2월</t>
  </si>
  <si>
    <t>3월</t>
  </si>
  <si>
    <t>김사원</t>
  </si>
  <si>
    <t>사원</t>
  </si>
  <si>
    <t>영업2부</t>
  </si>
  <si>
    <t>김흥부</t>
  </si>
  <si>
    <t>노지심</t>
  </si>
  <si>
    <t>영업1부</t>
  </si>
  <si>
    <t>송치윤</t>
  </si>
  <si>
    <t>영업4부</t>
  </si>
  <si>
    <t>이관우</t>
  </si>
  <si>
    <t>영업3부</t>
  </si>
  <si>
    <t>이봉주</t>
  </si>
  <si>
    <t>이수진</t>
  </si>
  <si>
    <t>이양양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</si>
</sst>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#,##0_ "/>
  </numFmts>
  <fonts count="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176" fontId="0" fillId="0" borderId="1" xfId="1" applyNumberFormat="1" applyFont="1" applyBorder="1" applyAlignment="1">
      <alignment horizontal="right" vertical="center"/>
    </xf>
    <xf numFmtId="176" fontId="0" fillId="0" borderId="1" xfId="0" applyNumberFormat="1" applyBorder="1" applyAlignment="1">
      <alignment horizontal="right" vertical="center"/>
    </xf>
    <xf numFmtId="0" fontId="0" fillId="0" borderId="2" xfId="0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굴림" panose="020B0600000101010101" pitchFamily="50" charset="-127"/>
                <a:ea typeface="굴림" panose="020B0600000101010101" pitchFamily="50" charset="-127"/>
                <a:cs typeface="+mn-cs"/>
              </a:defRPr>
            </a:pPr>
            <a:r>
              <a:rPr lang="ko-KR" altLang="en-US" sz="1600" b="1">
                <a:latin typeface="굴림" panose="020B0600000101010101" pitchFamily="50" charset="-127"/>
                <a:ea typeface="굴림" panose="020B0600000101010101" pitchFamily="50" charset="-127"/>
              </a:rPr>
              <a:t>품목별 불량률 및 생산량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굴림" panose="020B0600000101010101" pitchFamily="50" charset="-127"/>
              <a:ea typeface="굴림" panose="020B0600000101010101" pitchFamily="50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무작정따라하기!$D$3</c:f>
              <c:strCache>
                <c:ptCount val="1"/>
                <c:pt idx="0">
                  <c:v>불량률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무작정따라하기!$A$4:$A$9</c:f>
              <c:strCache>
                <c:ptCount val="6"/>
                <c:pt idx="0">
                  <c:v>볼펜</c:v>
                </c:pt>
                <c:pt idx="1">
                  <c:v>테이프</c:v>
                </c:pt>
                <c:pt idx="2">
                  <c:v>커터칼</c:v>
                </c:pt>
                <c:pt idx="3">
                  <c:v>포스트잇</c:v>
                </c:pt>
                <c:pt idx="4">
                  <c:v>형광펜</c:v>
                </c:pt>
                <c:pt idx="5">
                  <c:v>가위</c:v>
                </c:pt>
              </c:strCache>
            </c:strRef>
          </c:cat>
          <c:val>
            <c:numRef>
              <c:f>무작정따라하기!$D$4:$D$9</c:f>
              <c:numCache>
                <c:formatCode>0%</c:formatCode>
                <c:ptCount val="6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0.04</c:v>
                </c:pt>
                <c:pt idx="4">
                  <c:v>0.01</c:v>
                </c:pt>
                <c:pt idx="5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73-4C2C-AC98-EECE778D7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54131535"/>
        <c:axId val="1507878111"/>
      </c:barChart>
      <c:lineChart>
        <c:grouping val="standard"/>
        <c:varyColors val="0"/>
        <c:ser>
          <c:idx val="0"/>
          <c:order val="0"/>
          <c:tx>
            <c:strRef>
              <c:f>무작정따라하기!$B$3</c:f>
              <c:strCache>
                <c:ptCount val="1"/>
                <c:pt idx="0">
                  <c:v>생산량</c:v>
                </c:pt>
              </c:strCache>
            </c:strRef>
          </c:tx>
          <c:spPr>
            <a:ln w="508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무작정따라하기!$A$4:$A$9</c:f>
              <c:strCache>
                <c:ptCount val="6"/>
                <c:pt idx="0">
                  <c:v>볼펜</c:v>
                </c:pt>
                <c:pt idx="1">
                  <c:v>테이프</c:v>
                </c:pt>
                <c:pt idx="2">
                  <c:v>커터칼</c:v>
                </c:pt>
                <c:pt idx="3">
                  <c:v>포스트잇</c:v>
                </c:pt>
                <c:pt idx="4">
                  <c:v>형광펜</c:v>
                </c:pt>
                <c:pt idx="5">
                  <c:v>가위</c:v>
                </c:pt>
              </c:strCache>
            </c:strRef>
          </c:cat>
          <c:val>
            <c:numRef>
              <c:f>무작정따라하기!$B$4:$B$9</c:f>
              <c:numCache>
                <c:formatCode>#,##0_ </c:formatCode>
                <c:ptCount val="6"/>
                <c:pt idx="0">
                  <c:v>43500</c:v>
                </c:pt>
                <c:pt idx="1">
                  <c:v>15600</c:v>
                </c:pt>
                <c:pt idx="2">
                  <c:v>56400</c:v>
                </c:pt>
                <c:pt idx="3">
                  <c:v>15000</c:v>
                </c:pt>
                <c:pt idx="4">
                  <c:v>12400</c:v>
                </c:pt>
                <c:pt idx="5">
                  <c:v>76000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473-4C2C-AC98-EECE778D7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6369680"/>
        <c:axId val="966375440"/>
      </c:lineChart>
      <c:catAx>
        <c:axId val="1454131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07878111"/>
        <c:crosses val="autoZero"/>
        <c:auto val="1"/>
        <c:lblAlgn val="ctr"/>
        <c:lblOffset val="100"/>
        <c:noMultiLvlLbl val="0"/>
      </c:catAx>
      <c:valAx>
        <c:axId val="1507878111"/>
        <c:scaling>
          <c:orientation val="minMax"/>
          <c:max val="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불량률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54131535"/>
        <c:crosses val="autoZero"/>
        <c:crossBetween val="between"/>
      </c:valAx>
      <c:valAx>
        <c:axId val="966375440"/>
        <c:scaling>
          <c:orientation val="minMax"/>
          <c:max val="1000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생산량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#,##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6369680"/>
        <c:crosses val="max"/>
        <c:crossBetween val="between"/>
        <c:majorUnit val="20000"/>
      </c:valAx>
      <c:catAx>
        <c:axId val="9663696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663754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궁서" panose="02030600000101010101" pitchFamily="18" charset="-127"/>
              <a:ea typeface="궁서" panose="02030600000101010101" pitchFamily="18" charset="-127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spc="0" baseline="0">
                <a:solidFill>
                  <a:srgbClr val="FFFF00"/>
                </a:solidFill>
                <a:latin typeface="굴림체" panose="020B0609000101010101" pitchFamily="49" charset="-127"/>
                <a:ea typeface="굴림체" panose="020B0609000101010101" pitchFamily="49" charset="-127"/>
                <a:cs typeface="+mn-cs"/>
              </a:defRPr>
            </a:pPr>
            <a:r>
              <a:rPr lang="ko-KR" altLang="en-US" sz="1500" b="1">
                <a:solidFill>
                  <a:srgbClr val="FFFF00"/>
                </a:solidFill>
                <a:latin typeface="굴림체" panose="020B0609000101010101" pitchFamily="49" charset="-127"/>
                <a:ea typeface="굴림체" panose="020B0609000101010101" pitchFamily="49" charset="-127"/>
              </a:rPr>
              <a:t>남학생 컴퓨터 개론 성적</a:t>
            </a:r>
          </a:p>
        </c:rich>
      </c:tx>
      <c:overlay val="0"/>
      <c:spPr>
        <a:solidFill>
          <a:srgbClr val="0070C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spc="0" baseline="0">
              <a:solidFill>
                <a:srgbClr val="FFFF00"/>
              </a:solidFill>
              <a:latin typeface="굴림체" panose="020B0609000101010101" pitchFamily="49" charset="-127"/>
              <a:ea typeface="굴림체" panose="020B0609000101010101" pitchFamily="49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기출01!$E$3</c:f>
              <c:strCache>
                <c:ptCount val="1"/>
                <c:pt idx="0">
                  <c:v>중간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(기출01!$B$4:$B$5,기출01!$B$8:$B$9,기출01!$B$11:$B$12)</c:f>
              <c:strCache>
                <c:ptCount val="6"/>
                <c:pt idx="0">
                  <c:v>도자기</c:v>
                </c:pt>
                <c:pt idx="1">
                  <c:v>이용실</c:v>
                </c:pt>
                <c:pt idx="2">
                  <c:v>박달재</c:v>
                </c:pt>
                <c:pt idx="3">
                  <c:v>강정국</c:v>
                </c:pt>
                <c:pt idx="4">
                  <c:v>황무지</c:v>
                </c:pt>
                <c:pt idx="5">
                  <c:v>장승목</c:v>
                </c:pt>
              </c:strCache>
            </c:strRef>
          </c:cat>
          <c:val>
            <c:numRef>
              <c:f>(기출01!$E$4:$E$5,기출01!$E$8:$E$9,기출01!$E$11:$E$12)</c:f>
              <c:numCache>
                <c:formatCode>General</c:formatCode>
                <c:ptCount val="6"/>
                <c:pt idx="0">
                  <c:v>27</c:v>
                </c:pt>
                <c:pt idx="1">
                  <c:v>29</c:v>
                </c:pt>
                <c:pt idx="2">
                  <c:v>20</c:v>
                </c:pt>
                <c:pt idx="3">
                  <c:v>28</c:v>
                </c:pt>
                <c:pt idx="4">
                  <c:v>25</c:v>
                </c:pt>
                <c:pt idx="5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CB-43AA-97D3-65E6FD026044}"/>
            </c:ext>
          </c:extLst>
        </c:ser>
        <c:ser>
          <c:idx val="1"/>
          <c:order val="1"/>
          <c:tx>
            <c:strRef>
              <c:f>기출01!$F$3</c:f>
              <c:strCache>
                <c:ptCount val="1"/>
                <c:pt idx="0">
                  <c:v>기말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"/>
              <c:dLblPos val="in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5CB-43AA-97D3-65E6FD0260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(기출01!$B$4:$B$5,기출01!$B$8:$B$9,기출01!$B$11:$B$12)</c:f>
              <c:strCache>
                <c:ptCount val="6"/>
                <c:pt idx="0">
                  <c:v>도자기</c:v>
                </c:pt>
                <c:pt idx="1">
                  <c:v>이용실</c:v>
                </c:pt>
                <c:pt idx="2">
                  <c:v>박달재</c:v>
                </c:pt>
                <c:pt idx="3">
                  <c:v>강정국</c:v>
                </c:pt>
                <c:pt idx="4">
                  <c:v>황무지</c:v>
                </c:pt>
                <c:pt idx="5">
                  <c:v>장승목</c:v>
                </c:pt>
              </c:strCache>
            </c:strRef>
          </c:cat>
          <c:val>
            <c:numRef>
              <c:f>(기출01!$F$4:$F$5,기출01!$F$8:$F$9,기출01!$F$11:$F$12)</c:f>
              <c:numCache>
                <c:formatCode>General</c:formatCode>
                <c:ptCount val="6"/>
                <c:pt idx="0">
                  <c:v>30</c:v>
                </c:pt>
                <c:pt idx="1">
                  <c:v>38</c:v>
                </c:pt>
                <c:pt idx="2">
                  <c:v>35</c:v>
                </c:pt>
                <c:pt idx="3">
                  <c:v>38</c:v>
                </c:pt>
                <c:pt idx="4">
                  <c:v>28</c:v>
                </c:pt>
                <c:pt idx="5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CB-43AA-97D3-65E6FD026044}"/>
            </c:ext>
          </c:extLst>
        </c:ser>
        <c:ser>
          <c:idx val="2"/>
          <c:order val="2"/>
          <c:tx>
            <c:strRef>
              <c:f>기출01!$G$3</c:f>
              <c:strCache>
                <c:ptCount val="1"/>
                <c:pt idx="0">
                  <c:v>출석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(기출01!$B$4:$B$5,기출01!$B$8:$B$9,기출01!$B$11:$B$12)</c:f>
              <c:strCache>
                <c:ptCount val="6"/>
                <c:pt idx="0">
                  <c:v>도자기</c:v>
                </c:pt>
                <c:pt idx="1">
                  <c:v>이용실</c:v>
                </c:pt>
                <c:pt idx="2">
                  <c:v>박달재</c:v>
                </c:pt>
                <c:pt idx="3">
                  <c:v>강정국</c:v>
                </c:pt>
                <c:pt idx="4">
                  <c:v>황무지</c:v>
                </c:pt>
                <c:pt idx="5">
                  <c:v>장승목</c:v>
                </c:pt>
              </c:strCache>
            </c:strRef>
          </c:cat>
          <c:val>
            <c:numRef>
              <c:f>(기출01!$G$4:$G$5,기출01!$G$8:$G$9,기출01!$G$11:$G$12)</c:f>
              <c:numCache>
                <c:formatCode>General</c:formatCode>
                <c:ptCount val="6"/>
                <c:pt idx="0">
                  <c:v>8</c:v>
                </c:pt>
                <c:pt idx="1">
                  <c:v>10</c:v>
                </c:pt>
                <c:pt idx="2">
                  <c:v>9</c:v>
                </c:pt>
                <c:pt idx="3">
                  <c:v>8</c:v>
                </c:pt>
                <c:pt idx="4">
                  <c:v>5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5CB-43AA-97D3-65E6FD0260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50"/>
        <c:axId val="1567194623"/>
        <c:axId val="1567197503"/>
      </c:barChart>
      <c:catAx>
        <c:axId val="15671946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7197503"/>
        <c:crosses val="autoZero"/>
        <c:auto val="1"/>
        <c:lblAlgn val="ctr"/>
        <c:lblOffset val="100"/>
        <c:noMultiLvlLbl val="0"/>
      </c:catAx>
      <c:valAx>
        <c:axId val="1567197503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7194623"/>
        <c:crosses val="autoZero"/>
        <c:crossBetween val="between"/>
        <c:majorUnit val="1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dTable>
      <c:spPr>
        <a:solidFill>
          <a:srgbClr val="FFFF00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기출02!$G$1</c:f>
          <c:strCache>
            <c:ptCount val="1"/>
            <c:pt idx="0">
              <c:v>영업2부 영업실적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기출02!$E$2</c:f>
              <c:strCache>
                <c:ptCount val="1"/>
                <c:pt idx="0">
                  <c:v>1월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exp"/>
            <c:dispRSqr val="0"/>
            <c:dispEq val="0"/>
          </c:trendline>
          <c:cat>
            <c:strRef>
              <c:f>(기출02!$B$3:$B$4,기출02!$B$8,기출02!$B$10)</c:f>
              <c:strCache>
                <c:ptCount val="4"/>
                <c:pt idx="0">
                  <c:v>김사원</c:v>
                </c:pt>
                <c:pt idx="1">
                  <c:v>김흥부</c:v>
                </c:pt>
                <c:pt idx="2">
                  <c:v>이봉주</c:v>
                </c:pt>
                <c:pt idx="3">
                  <c:v>이양양</c:v>
                </c:pt>
              </c:strCache>
            </c:strRef>
          </c:cat>
          <c:val>
            <c:numRef>
              <c:f>(기출02!$E$3:$E$4,기출02!$E$8,기출02!$E$10)</c:f>
              <c:numCache>
                <c:formatCode>#,##0_ </c:formatCode>
                <c:ptCount val="4"/>
                <c:pt idx="0">
                  <c:v>35200</c:v>
                </c:pt>
                <c:pt idx="1">
                  <c:v>12500</c:v>
                </c:pt>
                <c:pt idx="2">
                  <c:v>64250</c:v>
                </c:pt>
                <c:pt idx="3">
                  <c:v>56800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B6-4157-A339-60AC7F60E9FE}"/>
            </c:ext>
          </c:extLst>
        </c:ser>
        <c:ser>
          <c:idx val="1"/>
          <c:order val="1"/>
          <c:tx>
            <c:strRef>
              <c:f>기출02!$F$2</c:f>
              <c:strCache>
                <c:ptCount val="1"/>
                <c:pt idx="0">
                  <c:v>2월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(기출02!$B$3:$B$4,기출02!$B$8,기출02!$B$10)</c:f>
              <c:strCache>
                <c:ptCount val="4"/>
                <c:pt idx="0">
                  <c:v>김사원</c:v>
                </c:pt>
                <c:pt idx="1">
                  <c:v>김흥부</c:v>
                </c:pt>
                <c:pt idx="2">
                  <c:v>이봉주</c:v>
                </c:pt>
                <c:pt idx="3">
                  <c:v>이양양</c:v>
                </c:pt>
              </c:strCache>
            </c:strRef>
          </c:cat>
          <c:val>
            <c:numRef>
              <c:f>(기출02!$F$3:$F$4,기출02!$F$8,기출02!$F$10)</c:f>
              <c:numCache>
                <c:formatCode>#,##0_ </c:formatCode>
                <c:ptCount val="4"/>
                <c:pt idx="0">
                  <c:v>35000</c:v>
                </c:pt>
                <c:pt idx="1">
                  <c:v>21000</c:v>
                </c:pt>
                <c:pt idx="2">
                  <c:v>56000</c:v>
                </c:pt>
                <c:pt idx="3">
                  <c:v>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B6-4157-A339-60AC7F60E9FE}"/>
            </c:ext>
          </c:extLst>
        </c:ser>
        <c:ser>
          <c:idx val="2"/>
          <c:order val="2"/>
          <c:tx>
            <c:strRef>
              <c:f>기출02!$G$2</c:f>
              <c:strCache>
                <c:ptCount val="1"/>
                <c:pt idx="0">
                  <c:v>3월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(기출02!$B$3:$B$4,기출02!$B$8,기출02!$B$10)</c:f>
              <c:strCache>
                <c:ptCount val="4"/>
                <c:pt idx="0">
                  <c:v>김사원</c:v>
                </c:pt>
                <c:pt idx="1">
                  <c:v>김흥부</c:v>
                </c:pt>
                <c:pt idx="2">
                  <c:v>이봉주</c:v>
                </c:pt>
                <c:pt idx="3">
                  <c:v>이양양</c:v>
                </c:pt>
              </c:strCache>
            </c:strRef>
          </c:cat>
          <c:val>
            <c:numRef>
              <c:f>(기출02!$G$3:$G$4,기출02!$G$8,기출02!$G$10)</c:f>
              <c:numCache>
                <c:formatCode>#,##0_ </c:formatCode>
                <c:ptCount val="4"/>
                <c:pt idx="0">
                  <c:v>36000</c:v>
                </c:pt>
                <c:pt idx="1">
                  <c:v>20000</c:v>
                </c:pt>
                <c:pt idx="2">
                  <c:v>66000</c:v>
                </c:pt>
                <c:pt idx="3">
                  <c:v>60500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B6-4157-A339-60AC7F60E9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67193183"/>
        <c:axId val="1567194143"/>
      </c:barChart>
      <c:catAx>
        <c:axId val="15671931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이름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7194143"/>
        <c:crosses val="autoZero"/>
        <c:auto val="1"/>
        <c:lblAlgn val="ctr"/>
        <c:lblOffset val="100"/>
        <c:noMultiLvlLbl val="0"/>
      </c:catAx>
      <c:valAx>
        <c:axId val="1567194143"/>
        <c:scaling>
          <c:orientation val="minMax"/>
        </c:scaling>
        <c:delete val="0"/>
        <c:axPos val="l"/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7193183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eaVert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</c:dispUnitsLbl>
        </c:dispUnits>
      </c:valAx>
      <c:spPr>
        <a:gradFill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4"/>
          </a:solidFill>
          <a:prstDash val="solid"/>
          <a:miter lim="800000"/>
        </a:ln>
        <a:effectLst/>
      </c:spPr>
    </c:plotArea>
    <c:legend>
      <c:legendPos val="r"/>
      <c:overlay val="0"/>
      <c:spPr>
        <a:gradFill rotWithShape="1">
          <a:gsLst>
            <a:gs pos="0">
              <a:schemeClr val="accent5">
                <a:lumMod val="110000"/>
                <a:satMod val="105000"/>
                <a:tint val="67000"/>
              </a:schemeClr>
            </a:gs>
            <a:gs pos="50000">
              <a:schemeClr val="accent5">
                <a:lumMod val="105000"/>
                <a:satMod val="103000"/>
                <a:tint val="73000"/>
              </a:schemeClr>
            </a:gs>
            <a:gs pos="100000">
              <a:schemeClr val="accent5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5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pct5">
      <a:fgClr>
        <a:schemeClr val="accent2"/>
      </a:fgClr>
      <a:bgClr>
        <a:schemeClr val="bg1"/>
      </a:bgClr>
    </a:pattFill>
    <a:ln w="254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6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1B799F04-ED59-E5DD-5317-4EFE2B8EBE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8</xdr:col>
      <xdr:colOff>0</xdr:colOff>
      <xdr:row>34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C17D592-C168-435B-81DD-A993F45CC1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8</xdr:col>
      <xdr:colOff>0</xdr:colOff>
      <xdr:row>29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B7D2F2EB-C0DF-6311-EDBD-98743685C1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75635-73E3-48CC-A49C-1A5397EFBF84}">
  <dimension ref="A1:K13"/>
  <sheetViews>
    <sheetView tabSelected="1" zoomScaleNormal="100" workbookViewId="0">
      <selection sqref="A1:F1"/>
    </sheetView>
  </sheetViews>
  <sheetFormatPr defaultRowHeight="17"/>
  <cols>
    <col min="1" max="4" width="9.58203125" customWidth="1"/>
    <col min="5" max="6" width="14.08203125" customWidth="1"/>
  </cols>
  <sheetData>
    <row r="1" spans="1:11" ht="21">
      <c r="A1" s="10" t="s">
        <v>0</v>
      </c>
      <c r="B1" s="10"/>
      <c r="C1" s="10"/>
      <c r="D1" s="10"/>
      <c r="E1" s="10"/>
      <c r="F1" s="10"/>
    </row>
    <row r="3" spans="1:11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</row>
    <row r="4" spans="1:11">
      <c r="A4" s="1" t="s">
        <v>7</v>
      </c>
      <c r="B4" s="5">
        <v>43500</v>
      </c>
      <c r="C4" s="5">
        <v>120</v>
      </c>
      <c r="D4" s="2">
        <v>0.02</v>
      </c>
      <c r="E4" s="5">
        <v>5220000</v>
      </c>
      <c r="F4" s="5">
        <v>5400000</v>
      </c>
    </row>
    <row r="5" spans="1:11">
      <c r="A5" s="1" t="s">
        <v>12</v>
      </c>
      <c r="B5" s="5">
        <v>15600</v>
      </c>
      <c r="C5" s="5">
        <v>1130</v>
      </c>
      <c r="D5" s="2">
        <v>0.03</v>
      </c>
      <c r="E5" s="5">
        <v>17628000</v>
      </c>
      <c r="F5" s="5">
        <v>21357000</v>
      </c>
    </row>
    <row r="6" spans="1:11">
      <c r="A6" s="1" t="s">
        <v>11</v>
      </c>
      <c r="B6" s="5">
        <v>56400</v>
      </c>
      <c r="C6" s="5">
        <v>340</v>
      </c>
      <c r="D6" s="2">
        <v>0.04</v>
      </c>
      <c r="E6" s="5">
        <v>19176000</v>
      </c>
      <c r="F6" s="5">
        <v>21080000</v>
      </c>
    </row>
    <row r="7" spans="1:11">
      <c r="A7" s="1" t="s">
        <v>13</v>
      </c>
      <c r="B7" s="5">
        <v>15000</v>
      </c>
      <c r="C7" s="5">
        <v>1560</v>
      </c>
      <c r="D7" s="2">
        <v>0.04</v>
      </c>
      <c r="E7" s="5">
        <v>23400000</v>
      </c>
      <c r="F7" s="5">
        <v>28080000</v>
      </c>
    </row>
    <row r="8" spans="1:11">
      <c r="A8" s="1" t="s">
        <v>8</v>
      </c>
      <c r="B8" s="5">
        <v>12400</v>
      </c>
      <c r="C8" s="5">
        <v>490</v>
      </c>
      <c r="D8" s="2">
        <v>0.01</v>
      </c>
      <c r="E8" s="5">
        <v>6076000</v>
      </c>
      <c r="F8" s="5">
        <v>10290000</v>
      </c>
    </row>
    <row r="9" spans="1:11">
      <c r="A9" s="1" t="s">
        <v>10</v>
      </c>
      <c r="B9" s="5">
        <v>76000</v>
      </c>
      <c r="C9" s="5">
        <v>230</v>
      </c>
      <c r="D9" s="2">
        <v>0.02</v>
      </c>
      <c r="E9" s="5">
        <v>17480000</v>
      </c>
      <c r="F9" s="5">
        <v>19550000</v>
      </c>
    </row>
    <row r="10" spans="1:11">
      <c r="A10" s="11" t="s">
        <v>9</v>
      </c>
      <c r="B10" s="11"/>
      <c r="C10" s="11"/>
      <c r="D10" s="11"/>
      <c r="E10" s="6">
        <f>SUM(E4:E9)</f>
        <v>88980000</v>
      </c>
      <c r="F10" s="6">
        <f>SUM(F4:F9)</f>
        <v>105757000</v>
      </c>
    </row>
    <row r="13" spans="1:11">
      <c r="K13" s="9"/>
    </row>
  </sheetData>
  <mergeCells count="2">
    <mergeCell ref="A1:F1"/>
    <mergeCell ref="A10:D10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5E6D4-853E-4F8A-851E-976E06FA5574}">
  <dimension ref="A1:J14"/>
  <sheetViews>
    <sheetView workbookViewId="0">
      <selection sqref="A1:J1"/>
    </sheetView>
  </sheetViews>
  <sheetFormatPr defaultRowHeight="17"/>
  <cols>
    <col min="3" max="3" width="13" bestFit="1" customWidth="1"/>
  </cols>
  <sheetData>
    <row r="1" spans="1:10" ht="21">
      <c r="A1" s="10" t="s">
        <v>14</v>
      </c>
      <c r="B1" s="10"/>
      <c r="C1" s="10"/>
      <c r="D1" s="10"/>
      <c r="E1" s="10"/>
      <c r="F1" s="10"/>
      <c r="G1" s="10"/>
      <c r="H1" s="10"/>
      <c r="I1" s="10"/>
      <c r="J1" s="10"/>
    </row>
    <row r="3" spans="1:10">
      <c r="A3" s="3" t="s">
        <v>15</v>
      </c>
      <c r="B3" s="3" t="s">
        <v>16</v>
      </c>
      <c r="C3" s="3" t="s">
        <v>17</v>
      </c>
      <c r="D3" s="3" t="s">
        <v>18</v>
      </c>
      <c r="E3" s="3" t="s">
        <v>19</v>
      </c>
      <c r="F3" s="3" t="s">
        <v>20</v>
      </c>
      <c r="G3" s="3" t="s">
        <v>21</v>
      </c>
      <c r="H3" s="3" t="s">
        <v>22</v>
      </c>
      <c r="I3" s="3" t="s">
        <v>23</v>
      </c>
      <c r="J3" s="3" t="s">
        <v>9</v>
      </c>
    </row>
    <row r="4" spans="1:10">
      <c r="A4" s="1" t="s">
        <v>24</v>
      </c>
      <c r="B4" s="1" t="s">
        <v>25</v>
      </c>
      <c r="C4" s="1" t="s">
        <v>26</v>
      </c>
      <c r="D4" s="1" t="s">
        <v>27</v>
      </c>
      <c r="E4" s="1">
        <v>27</v>
      </c>
      <c r="F4" s="1">
        <v>30</v>
      </c>
      <c r="G4" s="1">
        <v>8</v>
      </c>
      <c r="H4" s="1">
        <v>12</v>
      </c>
      <c r="I4" s="1">
        <f>SUM(E4:H4)</f>
        <v>77</v>
      </c>
      <c r="J4" s="1">
        <f>SUM(E4:F4)</f>
        <v>57</v>
      </c>
    </row>
    <row r="5" spans="1:10">
      <c r="A5" s="1" t="s">
        <v>28</v>
      </c>
      <c r="B5" s="1" t="s">
        <v>29</v>
      </c>
      <c r="C5" s="1" t="s">
        <v>30</v>
      </c>
      <c r="D5" s="1" t="s">
        <v>27</v>
      </c>
      <c r="E5" s="1">
        <v>29</v>
      </c>
      <c r="F5" s="1">
        <v>38</v>
      </c>
      <c r="G5" s="1">
        <v>10</v>
      </c>
      <c r="H5" s="1">
        <v>19</v>
      </c>
      <c r="I5" s="1">
        <f t="shared" ref="I5:I13" si="0">SUM(E5:H5)</f>
        <v>96</v>
      </c>
      <c r="J5" s="1">
        <f t="shared" ref="J5:J13" si="1">SUM(E5:F5)</f>
        <v>67</v>
      </c>
    </row>
    <row r="6" spans="1:10">
      <c r="A6" s="1" t="s">
        <v>31</v>
      </c>
      <c r="B6" s="1" t="s">
        <v>32</v>
      </c>
      <c r="C6" s="1" t="s">
        <v>30</v>
      </c>
      <c r="D6" s="1" t="s">
        <v>33</v>
      </c>
      <c r="E6" s="1">
        <v>25</v>
      </c>
      <c r="F6" s="1">
        <v>34</v>
      </c>
      <c r="G6" s="1">
        <v>8</v>
      </c>
      <c r="H6" s="1">
        <v>20</v>
      </c>
      <c r="I6" s="1">
        <f t="shared" si="0"/>
        <v>87</v>
      </c>
      <c r="J6" s="1">
        <f t="shared" si="1"/>
        <v>59</v>
      </c>
    </row>
    <row r="7" spans="1:10">
      <c r="A7" s="1" t="s">
        <v>34</v>
      </c>
      <c r="B7" s="1" t="s">
        <v>35</v>
      </c>
      <c r="C7" s="1" t="s">
        <v>26</v>
      </c>
      <c r="D7" s="1" t="s">
        <v>33</v>
      </c>
      <c r="E7" s="1">
        <v>29</v>
      </c>
      <c r="F7" s="1">
        <v>40</v>
      </c>
      <c r="G7" s="1">
        <v>10</v>
      </c>
      <c r="H7" s="1">
        <v>18</v>
      </c>
      <c r="I7" s="1">
        <f t="shared" si="0"/>
        <v>97</v>
      </c>
      <c r="J7" s="1">
        <f t="shared" si="1"/>
        <v>69</v>
      </c>
    </row>
    <row r="8" spans="1:10">
      <c r="A8" s="1" t="s">
        <v>36</v>
      </c>
      <c r="B8" s="1" t="s">
        <v>37</v>
      </c>
      <c r="C8" s="1" t="s">
        <v>30</v>
      </c>
      <c r="D8" s="1" t="s">
        <v>27</v>
      </c>
      <c r="E8" s="1">
        <v>20</v>
      </c>
      <c r="F8" s="1">
        <v>35</v>
      </c>
      <c r="G8" s="1">
        <v>9</v>
      </c>
      <c r="H8" s="1">
        <v>18</v>
      </c>
      <c r="I8" s="1">
        <f t="shared" si="0"/>
        <v>82</v>
      </c>
      <c r="J8" s="1">
        <f t="shared" si="1"/>
        <v>55</v>
      </c>
    </row>
    <row r="9" spans="1:10">
      <c r="A9" s="1" t="s">
        <v>38</v>
      </c>
      <c r="B9" s="1" t="s">
        <v>39</v>
      </c>
      <c r="C9" s="1" t="s">
        <v>40</v>
      </c>
      <c r="D9" s="1" t="s">
        <v>27</v>
      </c>
      <c r="E9" s="1">
        <v>28</v>
      </c>
      <c r="F9" s="1">
        <v>38</v>
      </c>
      <c r="G9" s="1">
        <v>8</v>
      </c>
      <c r="H9" s="1">
        <v>17</v>
      </c>
      <c r="I9" s="1">
        <f t="shared" si="0"/>
        <v>91</v>
      </c>
      <c r="J9" s="1">
        <f t="shared" si="1"/>
        <v>66</v>
      </c>
    </row>
    <row r="10" spans="1:10">
      <c r="A10" s="1" t="s">
        <v>41</v>
      </c>
      <c r="B10" s="1" t="s">
        <v>42</v>
      </c>
      <c r="C10" s="1" t="s">
        <v>40</v>
      </c>
      <c r="D10" s="1" t="s">
        <v>33</v>
      </c>
      <c r="E10" s="1">
        <v>30</v>
      </c>
      <c r="F10" s="1">
        <v>37</v>
      </c>
      <c r="G10" s="1">
        <v>8</v>
      </c>
      <c r="H10" s="1">
        <v>18</v>
      </c>
      <c r="I10" s="1">
        <f t="shared" si="0"/>
        <v>93</v>
      </c>
      <c r="J10" s="1">
        <f t="shared" si="1"/>
        <v>67</v>
      </c>
    </row>
    <row r="11" spans="1:10">
      <c r="A11" s="1" t="s">
        <v>43</v>
      </c>
      <c r="B11" s="1" t="s">
        <v>44</v>
      </c>
      <c r="C11" s="1" t="s">
        <v>26</v>
      </c>
      <c r="D11" s="1" t="s">
        <v>27</v>
      </c>
      <c r="E11" s="1">
        <v>25</v>
      </c>
      <c r="F11" s="1">
        <v>28</v>
      </c>
      <c r="G11" s="1">
        <v>5</v>
      </c>
      <c r="H11" s="1">
        <v>15</v>
      </c>
      <c r="I11" s="1">
        <f t="shared" si="0"/>
        <v>73</v>
      </c>
      <c r="J11" s="1">
        <f t="shared" si="1"/>
        <v>53</v>
      </c>
    </row>
    <row r="12" spans="1:10">
      <c r="A12" s="1" t="s">
        <v>45</v>
      </c>
      <c r="B12" s="1" t="s">
        <v>46</v>
      </c>
      <c r="C12" s="1" t="s">
        <v>40</v>
      </c>
      <c r="D12" s="1" t="s">
        <v>27</v>
      </c>
      <c r="E12" s="1">
        <v>30</v>
      </c>
      <c r="F12" s="1">
        <v>33</v>
      </c>
      <c r="G12" s="1">
        <v>5</v>
      </c>
      <c r="H12" s="1">
        <v>20</v>
      </c>
      <c r="I12" s="1">
        <f t="shared" si="0"/>
        <v>88</v>
      </c>
      <c r="J12" s="1">
        <f t="shared" si="1"/>
        <v>63</v>
      </c>
    </row>
    <row r="13" spans="1:10">
      <c r="A13" s="1" t="s">
        <v>47</v>
      </c>
      <c r="B13" s="1" t="s">
        <v>48</v>
      </c>
      <c r="C13" s="1" t="s">
        <v>40</v>
      </c>
      <c r="D13" s="1" t="s">
        <v>33</v>
      </c>
      <c r="E13" s="1">
        <v>26</v>
      </c>
      <c r="F13" s="1">
        <v>32</v>
      </c>
      <c r="G13" s="1">
        <v>10</v>
      </c>
      <c r="H13" s="1">
        <v>18</v>
      </c>
      <c r="I13" s="1">
        <f t="shared" si="0"/>
        <v>86</v>
      </c>
      <c r="J13" s="1">
        <f t="shared" si="1"/>
        <v>58</v>
      </c>
    </row>
    <row r="14" spans="1:10">
      <c r="A14" s="11" t="s">
        <v>49</v>
      </c>
      <c r="B14" s="11"/>
      <c r="C14" s="11"/>
      <c r="D14" s="11"/>
      <c r="E14" s="1">
        <f>AVERAGE(E4:E13)</f>
        <v>26.9</v>
      </c>
      <c r="F14" s="1">
        <f t="shared" ref="F14:I14" si="2">AVERAGE(F4:F13)</f>
        <v>34.5</v>
      </c>
      <c r="G14" s="1">
        <f t="shared" si="2"/>
        <v>8.1</v>
      </c>
      <c r="H14" s="1">
        <f t="shared" si="2"/>
        <v>17.5</v>
      </c>
      <c r="I14" s="1">
        <f t="shared" si="2"/>
        <v>87</v>
      </c>
      <c r="J14" s="7"/>
    </row>
  </sheetData>
  <mergeCells count="2">
    <mergeCell ref="A1:J1"/>
    <mergeCell ref="A14:D14"/>
  </mergeCells>
  <phoneticPr fontId="1" type="noConversion"/>
  <pageMargins left="0.7" right="0.7" top="0.75" bottom="0.75" header="0.3" footer="0.3"/>
  <ignoredErrors>
    <ignoredError sqref="J4:J13" formulaRange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21D4D-BDD2-4F08-9376-D68D36790950}">
  <dimension ref="A1:H10"/>
  <sheetViews>
    <sheetView workbookViewId="0"/>
  </sheetViews>
  <sheetFormatPr defaultRowHeight="17"/>
  <sheetData>
    <row r="1" spans="1:8" ht="21">
      <c r="A1" s="8" t="s">
        <v>50</v>
      </c>
      <c r="G1" t="s">
        <v>51</v>
      </c>
    </row>
    <row r="2" spans="1:8">
      <c r="A2" s="3" t="s">
        <v>52</v>
      </c>
      <c r="B2" s="3" t="s">
        <v>16</v>
      </c>
      <c r="C2" s="3" t="s">
        <v>53</v>
      </c>
      <c r="D2" s="3" t="s">
        <v>54</v>
      </c>
      <c r="E2" s="3" t="s">
        <v>55</v>
      </c>
      <c r="F2" s="3" t="s">
        <v>56</v>
      </c>
      <c r="G2" s="3" t="s">
        <v>57</v>
      </c>
      <c r="H2" s="3" t="s">
        <v>9</v>
      </c>
    </row>
    <row r="3" spans="1:8">
      <c r="A3" s="1">
        <v>3212</v>
      </c>
      <c r="B3" s="1" t="s">
        <v>58</v>
      </c>
      <c r="C3" s="1" t="s">
        <v>59</v>
      </c>
      <c r="D3" s="1" t="s">
        <v>60</v>
      </c>
      <c r="E3" s="4">
        <v>35200</v>
      </c>
      <c r="F3" s="4">
        <v>35000</v>
      </c>
      <c r="G3" s="4">
        <v>36000</v>
      </c>
      <c r="H3" s="4">
        <f>SUM(E3:G3)</f>
        <v>106200</v>
      </c>
    </row>
    <row r="4" spans="1:8">
      <c r="A4" s="1">
        <v>3214</v>
      </c>
      <c r="B4" s="1" t="s">
        <v>61</v>
      </c>
      <c r="C4" s="1" t="s">
        <v>59</v>
      </c>
      <c r="D4" s="1" t="s">
        <v>60</v>
      </c>
      <c r="E4" s="4">
        <v>12500</v>
      </c>
      <c r="F4" s="4">
        <v>21000</v>
      </c>
      <c r="G4" s="4">
        <v>20000</v>
      </c>
      <c r="H4" s="4">
        <f t="shared" ref="H4:H10" si="0">SUM(E4:G4)</f>
        <v>53500</v>
      </c>
    </row>
    <row r="5" spans="1:8">
      <c r="A5" s="1">
        <v>3114</v>
      </c>
      <c r="B5" s="1" t="s">
        <v>62</v>
      </c>
      <c r="C5" s="1" t="s">
        <v>59</v>
      </c>
      <c r="D5" s="1" t="s">
        <v>63</v>
      </c>
      <c r="E5" s="4">
        <v>62500</v>
      </c>
      <c r="F5" s="4">
        <v>65000</v>
      </c>
      <c r="G5" s="4">
        <v>64000</v>
      </c>
      <c r="H5" s="4">
        <f t="shared" si="0"/>
        <v>191500</v>
      </c>
    </row>
    <row r="6" spans="1:8">
      <c r="A6" s="1">
        <v>3412</v>
      </c>
      <c r="B6" s="1" t="s">
        <v>64</v>
      </c>
      <c r="C6" s="1" t="s">
        <v>59</v>
      </c>
      <c r="D6" s="1" t="s">
        <v>65</v>
      </c>
      <c r="E6" s="4">
        <v>62533</v>
      </c>
      <c r="F6" s="4">
        <v>61890</v>
      </c>
      <c r="G6" s="4">
        <v>63000</v>
      </c>
      <c r="H6" s="4">
        <f t="shared" si="0"/>
        <v>187423</v>
      </c>
    </row>
    <row r="7" spans="1:8">
      <c r="A7" s="1">
        <v>3312</v>
      </c>
      <c r="B7" s="1" t="s">
        <v>66</v>
      </c>
      <c r="C7" s="1" t="s">
        <v>59</v>
      </c>
      <c r="D7" s="1" t="s">
        <v>67</v>
      </c>
      <c r="E7" s="4">
        <v>32560</v>
      </c>
      <c r="F7" s="4">
        <v>33000</v>
      </c>
      <c r="G7" s="4">
        <v>32000</v>
      </c>
      <c r="H7" s="4">
        <f t="shared" si="0"/>
        <v>97560</v>
      </c>
    </row>
    <row r="8" spans="1:8">
      <c r="A8" s="1">
        <v>3213</v>
      </c>
      <c r="B8" s="1" t="s">
        <v>68</v>
      </c>
      <c r="C8" s="1" t="s">
        <v>59</v>
      </c>
      <c r="D8" s="1" t="s">
        <v>60</v>
      </c>
      <c r="E8" s="4">
        <v>64250</v>
      </c>
      <c r="F8" s="4">
        <v>56000</v>
      </c>
      <c r="G8" s="4">
        <v>66000</v>
      </c>
      <c r="H8" s="4">
        <f t="shared" si="0"/>
        <v>186250</v>
      </c>
    </row>
    <row r="9" spans="1:8">
      <c r="A9" s="1">
        <v>3413</v>
      </c>
      <c r="B9" s="1" t="s">
        <v>69</v>
      </c>
      <c r="C9" s="1" t="s">
        <v>59</v>
      </c>
      <c r="D9" s="1" t="s">
        <v>65</v>
      </c>
      <c r="E9" s="4">
        <v>45850</v>
      </c>
      <c r="F9" s="4">
        <v>43650</v>
      </c>
      <c r="G9" s="4">
        <v>48000</v>
      </c>
      <c r="H9" s="4">
        <f t="shared" si="0"/>
        <v>137500</v>
      </c>
    </row>
    <row r="10" spans="1:8">
      <c r="A10" s="1">
        <v>3112</v>
      </c>
      <c r="B10" s="1" t="s">
        <v>70</v>
      </c>
      <c r="C10" s="1" t="s">
        <v>59</v>
      </c>
      <c r="D10" s="1" t="s">
        <v>60</v>
      </c>
      <c r="E10" s="4">
        <v>56800</v>
      </c>
      <c r="F10" s="4">
        <v>60000</v>
      </c>
      <c r="G10" s="4">
        <v>60500</v>
      </c>
      <c r="H10" s="4">
        <f t="shared" si="0"/>
        <v>177300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무작정따라하기</vt:lpstr>
      <vt:lpstr>기출01</vt:lpstr>
      <vt:lpstr>기출02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2023-10-06T11:02:30Z</dcterms:modified>
</cp:coreProperties>
</file>