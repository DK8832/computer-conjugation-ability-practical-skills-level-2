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FACD7DFB-A421-4DB9-AAB5-5875413ADDC3}" xr6:coauthVersionLast="47" xr6:coauthVersionMax="47" xr10:uidLastSave="{00000000-0000-0000-0000-000000000000}"/>
  <bookViews>
    <workbookView xWindow="-22310" yWindow="1720" windowWidth="24360" windowHeight="18560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B8" i="5"/>
  <c r="B6" i="5"/>
  <c r="B6" i="4"/>
  <c r="H14" i="6"/>
  <c r="F5" i="6"/>
  <c r="H5" i="6" s="1"/>
  <c r="G5" i="6" s="1"/>
  <c r="F6" i="6"/>
  <c r="H6" i="6"/>
  <c r="G6" i="6" s="1"/>
  <c r="F7" i="6"/>
  <c r="G7" i="6"/>
  <c r="H7" i="6"/>
  <c r="F8" i="6"/>
  <c r="H8" i="6" s="1"/>
  <c r="G8" i="6" s="1"/>
  <c r="F9" i="6"/>
  <c r="H9" i="6"/>
  <c r="G9" i="6" s="1"/>
  <c r="F10" i="6"/>
  <c r="H10" i="6"/>
  <c r="G10" i="6" s="1"/>
  <c r="F11" i="6"/>
  <c r="H11" i="6"/>
  <c r="G11" i="6" s="1"/>
  <c r="F12" i="6"/>
  <c r="H12" i="6"/>
  <c r="G12" i="6" s="1"/>
  <c r="F13" i="6"/>
  <c r="H13" i="6" s="1"/>
  <c r="G13" i="6" s="1"/>
  <c r="H4" i="6"/>
  <c r="G4" i="6" s="1"/>
  <c r="F4" i="6"/>
</calcChain>
</file>

<file path=xl/sharedStrings.xml><?xml version="1.0" encoding="utf-8"?>
<sst xmlns="http://schemas.openxmlformats.org/spreadsheetml/2006/main" count="34" uniqueCount="33">
  <si>
    <t>연간매출액</t>
    <phoneticPr fontId="1" type="noConversion"/>
  </si>
  <si>
    <t>번호</t>
  </si>
  <si>
    <t>물품명</t>
  </si>
  <si>
    <t>단가</t>
  </si>
  <si>
    <t>매출수량</t>
  </si>
  <si>
    <t>반품수량</t>
  </si>
  <si>
    <t>매출액</t>
  </si>
  <si>
    <t>수익율</t>
  </si>
  <si>
    <t>순수매출액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</si>
  <si>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</si>
  <si>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</si>
  <si>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</si>
  <si>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</si>
  <si>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</si>
  <si>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</si>
  <si>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</si>
  <si>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</si>
  <si>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</si>
  <si>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</si>
  <si>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매출액합계</t>
    <phoneticPr fontId="1" type="noConversion"/>
  </si>
  <si>
    <t>적금 만기 금액</t>
    <phoneticPr fontId="1" type="noConversion"/>
  </si>
  <si>
    <t>매월적립액</t>
  </si>
  <si>
    <t>연이율</t>
  </si>
  <si>
    <t>적립기간(년)</t>
  </si>
  <si>
    <t>만기금액</t>
  </si>
  <si>
    <t>이익률 계산</t>
    <phoneticPr fontId="1" type="noConversion"/>
  </si>
  <si>
    <t>항목</t>
    <phoneticPr fontId="1" type="noConversion"/>
  </si>
  <si>
    <t>금액</t>
    <phoneticPr fontId="1" type="noConversion"/>
  </si>
  <si>
    <t>버스요금</t>
  </si>
  <si>
    <t>이용고객</t>
  </si>
  <si>
    <t>제조원가</t>
  </si>
  <si>
    <t>영업이익</t>
  </si>
  <si>
    <t>영업이익률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</si>
</sst>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3" borderId="1" xfId="0" applyNumberForma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1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distributed" vertical="center"/>
    </xf>
    <xf numFmtId="176" fontId="0" fillId="0" borderId="1" xfId="2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H14"/>
  <sheetViews>
    <sheetView tabSelected="1" workbookViewId="0">
      <selection sqref="A1:H1"/>
    </sheetView>
  </sheetViews>
  <sheetFormatPr defaultRowHeight="17" x14ac:dyDescent="0.45"/>
  <cols>
    <col min="6" max="6" width="10.58203125" bestFit="1" customWidth="1"/>
    <col min="8" max="8" width="10.58203125" bestFit="1" customWidth="1"/>
  </cols>
  <sheetData>
    <row r="1" spans="1:8" ht="21" x14ac:dyDescent="0.45">
      <c r="A1" s="12" t="s">
        <v>0</v>
      </c>
      <c r="B1" s="12"/>
      <c r="C1" s="12"/>
      <c r="D1" s="12"/>
      <c r="E1" s="12"/>
      <c r="F1" s="12"/>
      <c r="G1" s="12"/>
      <c r="H1" s="12"/>
    </row>
    <row r="3" spans="1:8" x14ac:dyDescent="0.45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</row>
    <row r="4" spans="1:8" x14ac:dyDescent="0.45">
      <c r="A4" s="1">
        <v>2657</v>
      </c>
      <c r="B4" s="1" t="s">
        <v>9</v>
      </c>
      <c r="C4" s="2">
        <v>2600</v>
      </c>
      <c r="D4" s="1">
        <v>240</v>
      </c>
      <c r="E4" s="1">
        <v>19</v>
      </c>
      <c r="F4" s="3">
        <f>C4*D4</f>
        <v>624000</v>
      </c>
      <c r="G4" s="4">
        <f>H4/F4</f>
        <v>0.92083333333333328</v>
      </c>
      <c r="H4" s="3">
        <f>F4-(C4*E4)</f>
        <v>574600</v>
      </c>
    </row>
    <row r="5" spans="1:8" x14ac:dyDescent="0.45">
      <c r="A5" s="1">
        <v>4284</v>
      </c>
      <c r="B5" s="1" t="s">
        <v>10</v>
      </c>
      <c r="C5" s="2">
        <v>3500</v>
      </c>
      <c r="D5" s="1">
        <v>154</v>
      </c>
      <c r="E5" s="1">
        <v>31</v>
      </c>
      <c r="F5" s="3">
        <f t="shared" ref="F5:F13" si="0">C5*D5</f>
        <v>539000</v>
      </c>
      <c r="G5" s="4">
        <f t="shared" ref="G5:G13" si="1">H5/F5</f>
        <v>0.79870129870129869</v>
      </c>
      <c r="H5" s="3">
        <f t="shared" ref="H5:H13" si="2">F5-(C5*E5)</f>
        <v>430500</v>
      </c>
    </row>
    <row r="6" spans="1:8" x14ac:dyDescent="0.45">
      <c r="A6" s="1">
        <v>3541</v>
      </c>
      <c r="B6" s="1" t="s">
        <v>11</v>
      </c>
      <c r="C6" s="2">
        <v>4200</v>
      </c>
      <c r="D6" s="1">
        <v>209</v>
      </c>
      <c r="E6" s="1">
        <v>22</v>
      </c>
      <c r="F6" s="3">
        <f t="shared" si="0"/>
        <v>877800</v>
      </c>
      <c r="G6" s="4">
        <f t="shared" si="1"/>
        <v>0.89473684210526316</v>
      </c>
      <c r="H6" s="3">
        <f t="shared" si="2"/>
        <v>785400</v>
      </c>
    </row>
    <row r="7" spans="1:8" x14ac:dyDescent="0.45">
      <c r="A7" s="1">
        <v>2875</v>
      </c>
      <c r="B7" s="1" t="s">
        <v>12</v>
      </c>
      <c r="C7" s="2">
        <v>1800</v>
      </c>
      <c r="D7" s="1">
        <v>452</v>
      </c>
      <c r="E7" s="1">
        <v>26</v>
      </c>
      <c r="F7" s="3">
        <f t="shared" si="0"/>
        <v>813600</v>
      </c>
      <c r="G7" s="4">
        <f t="shared" si="1"/>
        <v>0.94247787610619471</v>
      </c>
      <c r="H7" s="3">
        <f t="shared" si="2"/>
        <v>766800</v>
      </c>
    </row>
    <row r="8" spans="1:8" x14ac:dyDescent="0.45">
      <c r="A8" s="1">
        <v>3016</v>
      </c>
      <c r="B8" s="1" t="s">
        <v>13</v>
      </c>
      <c r="C8" s="2">
        <v>2200</v>
      </c>
      <c r="D8" s="1">
        <v>321</v>
      </c>
      <c r="E8" s="1">
        <v>13</v>
      </c>
      <c r="F8" s="3">
        <f t="shared" si="0"/>
        <v>706200</v>
      </c>
      <c r="G8" s="4">
        <f t="shared" si="1"/>
        <v>0.95950155763239875</v>
      </c>
      <c r="H8" s="3">
        <f t="shared" si="2"/>
        <v>677600</v>
      </c>
    </row>
    <row r="9" spans="1:8" x14ac:dyDescent="0.45">
      <c r="A9" s="1">
        <v>4250</v>
      </c>
      <c r="B9" s="1" t="s">
        <v>14</v>
      </c>
      <c r="C9" s="2">
        <v>5400</v>
      </c>
      <c r="D9" s="1">
        <v>120</v>
      </c>
      <c r="E9" s="1">
        <v>48</v>
      </c>
      <c r="F9" s="3">
        <f t="shared" si="0"/>
        <v>648000</v>
      </c>
      <c r="G9" s="4">
        <f t="shared" si="1"/>
        <v>0.6</v>
      </c>
      <c r="H9" s="3">
        <f t="shared" si="2"/>
        <v>388800</v>
      </c>
    </row>
    <row r="10" spans="1:8" x14ac:dyDescent="0.45">
      <c r="A10" s="1">
        <v>2586</v>
      </c>
      <c r="B10" s="1" t="s">
        <v>15</v>
      </c>
      <c r="C10" s="2">
        <v>2800</v>
      </c>
      <c r="D10" s="1">
        <v>410</v>
      </c>
      <c r="E10" s="1">
        <v>35</v>
      </c>
      <c r="F10" s="3">
        <f t="shared" si="0"/>
        <v>1148000</v>
      </c>
      <c r="G10" s="4">
        <f t="shared" si="1"/>
        <v>0.91463414634146345</v>
      </c>
      <c r="H10" s="3">
        <f t="shared" si="2"/>
        <v>1050000</v>
      </c>
    </row>
    <row r="11" spans="1:8" x14ac:dyDescent="0.45">
      <c r="A11" s="1">
        <v>1462</v>
      </c>
      <c r="B11" s="1" t="s">
        <v>16</v>
      </c>
      <c r="C11" s="2">
        <v>3600</v>
      </c>
      <c r="D11" s="1">
        <v>215</v>
      </c>
      <c r="E11" s="1">
        <v>106</v>
      </c>
      <c r="F11" s="3">
        <f t="shared" si="0"/>
        <v>774000</v>
      </c>
      <c r="G11" s="4">
        <f t="shared" si="1"/>
        <v>0.50697674418604655</v>
      </c>
      <c r="H11" s="3">
        <f t="shared" si="2"/>
        <v>392400</v>
      </c>
    </row>
    <row r="12" spans="1:8" x14ac:dyDescent="0.45">
      <c r="A12" s="1">
        <v>2253</v>
      </c>
      <c r="B12" s="1" t="s">
        <v>17</v>
      </c>
      <c r="C12" s="2">
        <v>4500</v>
      </c>
      <c r="D12" s="1">
        <v>325</v>
      </c>
      <c r="E12" s="1">
        <v>87</v>
      </c>
      <c r="F12" s="3">
        <f t="shared" si="0"/>
        <v>1462500</v>
      </c>
      <c r="G12" s="4">
        <f t="shared" si="1"/>
        <v>0.73230769230769233</v>
      </c>
      <c r="H12" s="3">
        <f t="shared" si="2"/>
        <v>1071000</v>
      </c>
    </row>
    <row r="13" spans="1:8" x14ac:dyDescent="0.45">
      <c r="A13" s="1">
        <v>2028</v>
      </c>
      <c r="B13" s="1" t="s">
        <v>18</v>
      </c>
      <c r="C13" s="2">
        <v>3200</v>
      </c>
      <c r="D13" s="1">
        <v>248</v>
      </c>
      <c r="E13" s="1">
        <v>74</v>
      </c>
      <c r="F13" s="3">
        <f t="shared" si="0"/>
        <v>793600</v>
      </c>
      <c r="G13" s="4">
        <f t="shared" si="1"/>
        <v>0.70161290322580649</v>
      </c>
      <c r="H13" s="3">
        <f t="shared" si="2"/>
        <v>556800</v>
      </c>
    </row>
    <row r="14" spans="1:8" x14ac:dyDescent="0.45">
      <c r="F14" s="13" t="s">
        <v>19</v>
      </c>
      <c r="G14" s="14"/>
      <c r="H14" s="6">
        <f>SUM(H4:H13)</f>
        <v>6693900</v>
      </c>
    </row>
  </sheetData>
  <mergeCells count="2">
    <mergeCell ref="A1:H1"/>
    <mergeCell ref="F14:G14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B6"/>
  <sheetViews>
    <sheetView workbookViewId="0">
      <selection sqref="A1:B1"/>
    </sheetView>
  </sheetViews>
  <sheetFormatPr defaultRowHeight="17" x14ac:dyDescent="0.45"/>
  <cols>
    <col min="1" max="1" width="12.33203125" bestFit="1" customWidth="1"/>
    <col min="2" max="2" width="10.83203125" bestFit="1" customWidth="1"/>
  </cols>
  <sheetData>
    <row r="1" spans="1:2" ht="21" x14ac:dyDescent="0.45">
      <c r="A1" s="12" t="s">
        <v>20</v>
      </c>
      <c r="B1" s="12"/>
    </row>
    <row r="3" spans="1:2" x14ac:dyDescent="0.45">
      <c r="A3" s="7" t="s">
        <v>21</v>
      </c>
      <c r="B3" s="9">
        <v>250000</v>
      </c>
    </row>
    <row r="4" spans="1:2" x14ac:dyDescent="0.45">
      <c r="A4" s="7" t="s">
        <v>22</v>
      </c>
      <c r="B4" s="8">
        <v>0.1075</v>
      </c>
    </row>
    <row r="5" spans="1:2" x14ac:dyDescent="0.45">
      <c r="A5" s="7" t="s">
        <v>23</v>
      </c>
      <c r="B5" s="9">
        <v>2</v>
      </c>
    </row>
    <row r="6" spans="1:2" x14ac:dyDescent="0.45">
      <c r="A6" s="7" t="s">
        <v>24</v>
      </c>
      <c r="B6" s="9">
        <f>FV($B$4/12,$B$5*12,-$B$3,0)</f>
        <v>6660712.6162617523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B9"/>
  <sheetViews>
    <sheetView workbookViewId="0">
      <selection sqref="A1:B1"/>
    </sheetView>
  </sheetViews>
  <sheetFormatPr defaultRowHeight="17" x14ac:dyDescent="0.45"/>
  <cols>
    <col min="1" max="1" width="11.58203125" customWidth="1"/>
    <col min="2" max="2" width="13.58203125" customWidth="1"/>
  </cols>
  <sheetData>
    <row r="1" spans="1:2" ht="21" x14ac:dyDescent="0.45">
      <c r="A1" s="12" t="s">
        <v>25</v>
      </c>
      <c r="B1" s="12"/>
    </row>
    <row r="3" spans="1:2" x14ac:dyDescent="0.45">
      <c r="A3" s="5" t="s">
        <v>26</v>
      </c>
      <c r="B3" s="5" t="s">
        <v>27</v>
      </c>
    </row>
    <row r="4" spans="1:2" x14ac:dyDescent="0.45">
      <c r="A4" s="10" t="s">
        <v>28</v>
      </c>
      <c r="B4" s="9">
        <v>1500</v>
      </c>
    </row>
    <row r="5" spans="1:2" x14ac:dyDescent="0.45">
      <c r="A5" s="10" t="s">
        <v>29</v>
      </c>
      <c r="B5" s="9">
        <v>52000</v>
      </c>
    </row>
    <row r="6" spans="1:2" x14ac:dyDescent="0.45">
      <c r="A6" s="10" t="s">
        <v>6</v>
      </c>
      <c r="B6" s="9">
        <f>B4*B5</f>
        <v>78000000</v>
      </c>
    </row>
    <row r="7" spans="1:2" x14ac:dyDescent="0.45">
      <c r="A7" s="10" t="s">
        <v>30</v>
      </c>
      <c r="B7" s="9">
        <v>58461000</v>
      </c>
    </row>
    <row r="8" spans="1:2" x14ac:dyDescent="0.45">
      <c r="A8" s="10" t="s">
        <v>31</v>
      </c>
      <c r="B8" s="9">
        <f>B6-B7</f>
        <v>19539000</v>
      </c>
    </row>
    <row r="9" spans="1:2" x14ac:dyDescent="0.45">
      <c r="A9" s="10" t="s">
        <v>32</v>
      </c>
      <c r="B9" s="11">
        <f>B8/B6</f>
        <v>0.2505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2023-05-11T10:20:37Z</dcterms:modified>
</cp:coreProperties>
</file>