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2025_기본서_컴활2급실기_학습자료_241127 update\01 섹션\"/>
    </mc:Choice>
  </mc:AlternateContent>
  <xr:revisionPtr revIDLastSave="0" documentId="13_ncr:1_{08CFA93E-3D08-456A-920C-F62C58F72043}" xr6:coauthVersionLast="36" xr6:coauthVersionMax="47" xr10:uidLastSave="{00000000-0000-0000-0000-000000000000}"/>
  <bookViews>
    <workbookView xWindow="0" yWindow="0" windowWidth="34320" windowHeight="12180" activeTab="1" xr2:uid="{EE757160-5024-4120-A609-A74D9106D7A4}"/>
  </bookViews>
  <sheets>
    <sheet name="무작정따라하기" sheetId="6" r:id="rId1"/>
    <sheet name="기출01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4" l="1"/>
  <c r="D9" i="4"/>
  <c r="E9" i="4"/>
  <c r="C6" i="4"/>
  <c r="D6" i="4"/>
  <c r="E6" i="4"/>
  <c r="C5" i="4"/>
  <c r="D5" i="4"/>
  <c r="E5" i="4"/>
  <c r="B9" i="4"/>
  <c r="B6" i="4"/>
  <c r="B5" i="4"/>
  <c r="F7" i="4"/>
  <c r="F8" i="4"/>
  <c r="F4" i="4"/>
  <c r="E2" i="6"/>
  <c r="F9" i="4" l="1"/>
  <c r="F6" i="4"/>
  <c r="F5" i="4"/>
</calcChain>
</file>

<file path=xl/sharedStrings.xml><?xml version="1.0" encoding="utf-8"?>
<sst xmlns="http://schemas.openxmlformats.org/spreadsheetml/2006/main" count="20" uniqueCount="20">
  <si>
    <t>대출상환</t>
    <phoneticPr fontId="1" type="noConversion"/>
  </si>
  <si>
    <t>대출금액</t>
  </si>
  <si>
    <t>상환기간(연)</t>
  </si>
  <si>
    <t>이자율(연)</t>
  </si>
  <si>
    <t>월상환액</t>
    <phoneticPr fontId="1" type="noConversion"/>
  </si>
  <si>
    <t>길벗 계열회사별 손익계산표</t>
    <phoneticPr fontId="1" type="noConversion"/>
  </si>
  <si>
    <t>계열A</t>
  </si>
  <si>
    <t>계열B</t>
  </si>
  <si>
    <t>계열C</t>
  </si>
  <si>
    <t>계열D</t>
  </si>
  <si>
    <t>합계</t>
  </si>
  <si>
    <t>판매 단위</t>
  </si>
  <si>
    <t>판매 수입</t>
  </si>
  <si>
    <t>판매 비용</t>
  </si>
  <si>
    <t>광고 비용</t>
  </si>
  <si>
    <t>설비 비용</t>
  </si>
  <si>
    <t>이익</t>
  </si>
  <si>
    <t>제품 가격</t>
  </si>
  <si>
    <t>제품 비용</t>
  </si>
  <si>
    <t>(단위:천)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</si>
</sst>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2" borderId="1" xfId="0" applyFill="1" applyBorder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E4"/>
  <sheetViews>
    <sheetView workbookViewId="0">
      <selection sqref="A1:B1"/>
    </sheetView>
  </sheetViews>
  <sheetFormatPr defaultRowHeight="16.5" x14ac:dyDescent="0.3"/>
  <cols>
    <col min="1" max="1" width="12.375" bestFit="1" customWidth="1"/>
    <col min="2" max="2" width="10.875" bestFit="1" customWidth="1"/>
    <col min="3" max="3" width="3.625" customWidth="1"/>
  </cols>
  <sheetData>
    <row r="1" spans="1:5" x14ac:dyDescent="0.3">
      <c r="A1" s="12" t="s">
        <v>0</v>
      </c>
      <c r="B1" s="12"/>
    </row>
    <row r="2" spans="1:5" x14ac:dyDescent="0.3">
      <c r="A2" s="1" t="s">
        <v>1</v>
      </c>
      <c r="B2" s="3">
        <v>1000000</v>
      </c>
      <c r="D2" s="1" t="s">
        <v>4</v>
      </c>
      <c r="E2" s="3">
        <f>ROUND(PMT(B4/12,B3*12, -B2),-3)</f>
        <v>20000</v>
      </c>
    </row>
    <row r="3" spans="1:5" x14ac:dyDescent="0.3">
      <c r="A3" s="1" t="s">
        <v>2</v>
      </c>
      <c r="B3" s="3">
        <v>4.7916883116883113</v>
      </c>
    </row>
    <row r="4" spans="1:5" x14ac:dyDescent="0.3">
      <c r="A4" s="1" t="s">
        <v>3</v>
      </c>
      <c r="B4" s="2">
        <v>0.06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F11"/>
  <sheetViews>
    <sheetView tabSelected="1" workbookViewId="0">
      <selection sqref="A1:F1"/>
    </sheetView>
  </sheetViews>
  <sheetFormatPr defaultRowHeight="16.5" x14ac:dyDescent="0.3"/>
  <cols>
    <col min="1" max="1" width="9.625" bestFit="1" customWidth="1"/>
  </cols>
  <sheetData>
    <row r="1" spans="1:6" ht="20.25" x14ac:dyDescent="0.3">
      <c r="A1" s="13" t="s">
        <v>5</v>
      </c>
      <c r="B1" s="13"/>
      <c r="C1" s="13"/>
      <c r="D1" s="13"/>
      <c r="E1" s="13"/>
      <c r="F1" s="13"/>
    </row>
    <row r="3" spans="1:6" x14ac:dyDescent="0.3">
      <c r="A3" s="6"/>
      <c r="B3" s="7" t="s">
        <v>6</v>
      </c>
      <c r="C3" s="7" t="s">
        <v>7</v>
      </c>
      <c r="D3" s="7" t="s">
        <v>8</v>
      </c>
      <c r="E3" s="7" t="s">
        <v>9</v>
      </c>
      <c r="F3" s="7" t="s">
        <v>10</v>
      </c>
    </row>
    <row r="4" spans="1:6" x14ac:dyDescent="0.3">
      <c r="A4" s="4" t="s">
        <v>11</v>
      </c>
      <c r="B4" s="5">
        <v>3592</v>
      </c>
      <c r="C4" s="5">
        <v>4390</v>
      </c>
      <c r="D4" s="5">
        <v>3192</v>
      </c>
      <c r="E4" s="5">
        <v>4789</v>
      </c>
      <c r="F4" s="5">
        <f>SUM(B4:E4)</f>
        <v>15963</v>
      </c>
    </row>
    <row r="5" spans="1:6" x14ac:dyDescent="0.3">
      <c r="A5" s="4" t="s">
        <v>12</v>
      </c>
      <c r="B5" s="5">
        <f>$B$10*B4</f>
        <v>143680</v>
      </c>
      <c r="C5" s="5">
        <f t="shared" ref="C5:E5" si="0">$B$10*C4</f>
        <v>175600</v>
      </c>
      <c r="D5" s="5">
        <f t="shared" si="0"/>
        <v>127680</v>
      </c>
      <c r="E5" s="5">
        <f t="shared" si="0"/>
        <v>191560</v>
      </c>
      <c r="F5" s="5">
        <f t="shared" ref="F5:F9" si="1">SUM(B5:E5)</f>
        <v>638520</v>
      </c>
    </row>
    <row r="6" spans="1:6" x14ac:dyDescent="0.3">
      <c r="A6" s="4" t="s">
        <v>13</v>
      </c>
      <c r="B6" s="5">
        <f>B4*$B$11</f>
        <v>89800</v>
      </c>
      <c r="C6" s="5">
        <f t="shared" ref="C6:E6" si="2">C4*$B$11</f>
        <v>109750</v>
      </c>
      <c r="D6" s="5">
        <f t="shared" si="2"/>
        <v>79800</v>
      </c>
      <c r="E6" s="5">
        <f t="shared" si="2"/>
        <v>119725</v>
      </c>
      <c r="F6" s="5">
        <f t="shared" si="1"/>
        <v>399075</v>
      </c>
    </row>
    <row r="7" spans="1:6" x14ac:dyDescent="0.3">
      <c r="A7" s="4" t="s">
        <v>14</v>
      </c>
      <c r="B7" s="5">
        <v>14251</v>
      </c>
      <c r="C7" s="5">
        <v>12346</v>
      </c>
      <c r="D7" s="5">
        <v>8140.0000000000036</v>
      </c>
      <c r="E7" s="5">
        <v>15263</v>
      </c>
      <c r="F7" s="5">
        <f t="shared" si="1"/>
        <v>50000</v>
      </c>
    </row>
    <row r="8" spans="1:6" x14ac:dyDescent="0.3">
      <c r="A8" s="4" t="s">
        <v>15</v>
      </c>
      <c r="B8" s="5">
        <v>21549</v>
      </c>
      <c r="C8" s="5">
        <v>26338</v>
      </c>
      <c r="D8" s="5">
        <v>19155</v>
      </c>
      <c r="E8" s="5">
        <v>28732</v>
      </c>
      <c r="F8" s="5">
        <f t="shared" si="1"/>
        <v>95774</v>
      </c>
    </row>
    <row r="9" spans="1:6" x14ac:dyDescent="0.3">
      <c r="A9" s="4" t="s">
        <v>16</v>
      </c>
      <c r="B9" s="5">
        <f>B5-(B6+B7+B8)</f>
        <v>18080</v>
      </c>
      <c r="C9" s="5">
        <f t="shared" ref="C9:E9" si="3">C5-(C6+C7+C8)</f>
        <v>27166</v>
      </c>
      <c r="D9" s="5">
        <f t="shared" si="3"/>
        <v>20585</v>
      </c>
      <c r="E9" s="5">
        <f t="shared" si="3"/>
        <v>27840</v>
      </c>
      <c r="F9" s="5">
        <f t="shared" si="1"/>
        <v>93671</v>
      </c>
    </row>
    <row r="10" spans="1:6" x14ac:dyDescent="0.3">
      <c r="A10" s="4" t="s">
        <v>17</v>
      </c>
      <c r="B10" s="3">
        <v>40</v>
      </c>
      <c r="C10" s="8"/>
      <c r="D10" s="9"/>
      <c r="E10" s="9"/>
      <c r="F10" s="14" t="s">
        <v>19</v>
      </c>
    </row>
    <row r="11" spans="1:6" x14ac:dyDescent="0.3">
      <c r="A11" s="4" t="s">
        <v>18</v>
      </c>
      <c r="B11" s="3">
        <v>25</v>
      </c>
      <c r="C11" s="10"/>
      <c r="D11" s="11"/>
      <c r="E11" s="11"/>
      <c r="F11" s="15"/>
    </row>
  </sheetData>
  <mergeCells count="2">
    <mergeCell ref="A1:F1"/>
    <mergeCell ref="F10:F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2023-04-27T02:31:42Z</dcterms:created>
  <dcterms:modified xsi:type="dcterms:W3CDTF">2025-09-02T06:56:48Z</dcterms:modified>
</cp:coreProperties>
</file>