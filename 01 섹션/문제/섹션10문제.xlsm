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537C8834-8C76-4B95-A968-78ACD8A86FCA}" xr6:coauthVersionLast="47" xr6:coauthVersionMax="47" xr10:uidLastSave="{00000000-0000-0000-0000-000000000000}"/>
  <bookViews>
    <workbookView xWindow="-37990" yWindow="2640" windowWidth="16510" windowHeight="15390" xr2:uid="{EE757160-5024-4120-A609-A74D9106D7A4}"/>
  </bookViews>
  <sheets>
    <sheet name="무작정따라하기" sheetId="6" r:id="rId1"/>
    <sheet name="기출01" sheetId="4" r:id="rId2"/>
    <sheet name="기출02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5" l="1"/>
  <c r="F5" i="5"/>
  <c r="G5" i="5" s="1"/>
  <c r="E6" i="5"/>
  <c r="F6" i="5"/>
  <c r="G6" i="5" s="1"/>
  <c r="E7" i="5"/>
  <c r="F7" i="5"/>
  <c r="G7" i="5" s="1"/>
  <c r="E8" i="5"/>
  <c r="F8" i="5"/>
  <c r="G8" i="5" s="1"/>
  <c r="E9" i="5"/>
  <c r="F9" i="5"/>
  <c r="G9" i="5" s="1"/>
  <c r="E10" i="5"/>
  <c r="F10" i="5"/>
  <c r="G10" i="5" s="1"/>
  <c r="E11" i="5"/>
  <c r="F11" i="5"/>
  <c r="G11" i="5" s="1"/>
  <c r="E12" i="5"/>
  <c r="F12" i="5"/>
  <c r="G12" i="5" s="1"/>
  <c r="E13" i="5"/>
  <c r="F13" i="5"/>
  <c r="G13" i="5" s="1"/>
  <c r="E14" i="5"/>
  <c r="F14" i="5"/>
  <c r="G14" i="5" s="1"/>
  <c r="H4" i="5"/>
  <c r="G4" i="5"/>
  <c r="F4" i="5"/>
  <c r="E4" i="5"/>
  <c r="H14" i="5" l="1"/>
  <c r="H12" i="5"/>
  <c r="H10" i="5"/>
  <c r="H8" i="5"/>
  <c r="H6" i="5"/>
  <c r="H13" i="5"/>
  <c r="H11" i="5"/>
  <c r="H9" i="5"/>
  <c r="H7" i="5"/>
  <c r="H5" i="5"/>
</calcChain>
</file>

<file path=xl/sharedStrings.xml><?xml version="1.0" encoding="utf-8"?>
<sst xmlns="http://schemas.openxmlformats.org/spreadsheetml/2006/main" count="148" uniqueCount="60">
  <si>
    <t>한의원의 이용실태</t>
    <phoneticPr fontId="1" type="noConversion"/>
  </si>
  <si>
    <t>진료시간대</t>
  </si>
  <si>
    <t>진료과목</t>
  </si>
  <si>
    <t>거주지역</t>
  </si>
  <si>
    <t>성별</t>
  </si>
  <si>
    <t>인원</t>
  </si>
  <si>
    <t>연령대</t>
  </si>
  <si>
    <t>내과</t>
  </si>
  <si>
    <t>라인</t>
  </si>
  <si>
    <t>남</t>
  </si>
  <si>
    <t>침구과</t>
  </si>
  <si>
    <t>여</t>
  </si>
  <si>
    <t>금호</t>
  </si>
  <si>
    <t>현대</t>
  </si>
  <si>
    <t>부인과</t>
  </si>
  <si>
    <t>배달일지</t>
    <phoneticPr fontId="1" type="noConversion"/>
  </si>
  <si>
    <t>일자</t>
  </si>
  <si>
    <t>배달담당</t>
  </si>
  <si>
    <t>배달지역</t>
  </si>
  <si>
    <t>배달시간(분)</t>
  </si>
  <si>
    <t>배달량</t>
  </si>
  <si>
    <t>비고</t>
  </si>
  <si>
    <t>1월 12일</t>
  </si>
  <si>
    <t>도부영</t>
  </si>
  <si>
    <t>산북지구</t>
  </si>
  <si>
    <t>배무현</t>
  </si>
  <si>
    <t>산서지구</t>
  </si>
  <si>
    <t>장동욱</t>
  </si>
  <si>
    <t>산동지구</t>
  </si>
  <si>
    <t>1월 13일</t>
  </si>
  <si>
    <t>산남지구</t>
  </si>
  <si>
    <t>1월 14일</t>
  </si>
  <si>
    <t>1월 15일</t>
  </si>
  <si>
    <t>1월 16일</t>
  </si>
  <si>
    <t>1월 17일</t>
  </si>
  <si>
    <t>배달누락</t>
    <phoneticPr fontId="1" type="noConversion"/>
  </si>
  <si>
    <t>급여 분석 현황</t>
    <phoneticPr fontId="1" type="noConversion"/>
  </si>
  <si>
    <t>사원번호</t>
  </si>
  <si>
    <t>성명</t>
  </si>
  <si>
    <t>직위</t>
  </si>
  <si>
    <t>기본급</t>
  </si>
  <si>
    <t>상여금</t>
  </si>
  <si>
    <t>급여계</t>
  </si>
  <si>
    <t>공제계</t>
  </si>
  <si>
    <t>실수령액</t>
  </si>
  <si>
    <t>차진수</t>
  </si>
  <si>
    <t>과장</t>
  </si>
  <si>
    <t>마시리</t>
  </si>
  <si>
    <t>사원</t>
  </si>
  <si>
    <t>하수진</t>
  </si>
  <si>
    <t>오현명</t>
  </si>
  <si>
    <t>부장</t>
  </si>
  <si>
    <t>백지경</t>
  </si>
  <si>
    <t>정형수</t>
  </si>
  <si>
    <t>대리</t>
  </si>
  <si>
    <t>유현인</t>
  </si>
  <si>
    <t>이지형</t>
  </si>
  <si>
    <t>나진의</t>
  </si>
  <si>
    <t>진인진</t>
  </si>
  <si>
    <t>피현정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</si>
</sst>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F20"/>
  <sheetViews>
    <sheetView tabSelected="1" workbookViewId="0">
      <selection sqref="A1:F1"/>
    </sheetView>
  </sheetViews>
  <sheetFormatPr defaultRowHeight="17" x14ac:dyDescent="0.45"/>
  <cols>
    <col min="1" max="1" width="10.4140625" bestFit="1" customWidth="1"/>
  </cols>
  <sheetData>
    <row r="1" spans="1:6" ht="21" x14ac:dyDescent="0.45">
      <c r="A1" s="6" t="s">
        <v>0</v>
      </c>
      <c r="B1" s="6"/>
      <c r="C1" s="6"/>
      <c r="D1" s="6"/>
      <c r="E1" s="6"/>
      <c r="F1" s="6"/>
    </row>
    <row r="3" spans="1:6" x14ac:dyDescent="0.4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 x14ac:dyDescent="0.45">
      <c r="A4" s="2">
        <v>0.41666666666666669</v>
      </c>
      <c r="B4" s="1" t="s">
        <v>7</v>
      </c>
      <c r="C4" s="1" t="s">
        <v>8</v>
      </c>
      <c r="D4" s="1" t="s">
        <v>9</v>
      </c>
      <c r="E4" s="1">
        <v>3</v>
      </c>
      <c r="F4" s="5">
        <v>60</v>
      </c>
    </row>
    <row r="5" spans="1:6" x14ac:dyDescent="0.45">
      <c r="A5" s="2">
        <v>0.41666666666666669</v>
      </c>
      <c r="B5" s="1" t="s">
        <v>10</v>
      </c>
      <c r="C5" s="1" t="s">
        <v>8</v>
      </c>
      <c r="D5" s="1" t="s">
        <v>11</v>
      </c>
      <c r="E5" s="1">
        <v>7</v>
      </c>
      <c r="F5" s="5">
        <v>50</v>
      </c>
    </row>
    <row r="6" spans="1:6" x14ac:dyDescent="0.45">
      <c r="A6" s="2">
        <v>0.45833333333333331</v>
      </c>
      <c r="B6" s="1" t="s">
        <v>7</v>
      </c>
      <c r="C6" s="1" t="s">
        <v>12</v>
      </c>
      <c r="D6" s="1" t="s">
        <v>11</v>
      </c>
      <c r="E6" s="1">
        <v>4</v>
      </c>
      <c r="F6" s="5">
        <v>40</v>
      </c>
    </row>
    <row r="7" spans="1:6" x14ac:dyDescent="0.45">
      <c r="A7" s="2">
        <v>0.45833333333333331</v>
      </c>
      <c r="B7" s="1" t="s">
        <v>7</v>
      </c>
      <c r="C7" s="1" t="s">
        <v>13</v>
      </c>
      <c r="D7" s="1" t="s">
        <v>9</v>
      </c>
      <c r="E7" s="1">
        <v>6</v>
      </c>
      <c r="F7" s="5">
        <v>60</v>
      </c>
    </row>
    <row r="8" spans="1:6" x14ac:dyDescent="0.45">
      <c r="A8" s="2">
        <v>0.54166666666666663</v>
      </c>
      <c r="B8" s="1" t="s">
        <v>14</v>
      </c>
      <c r="C8" s="1" t="s">
        <v>12</v>
      </c>
      <c r="D8" s="1" t="s">
        <v>11</v>
      </c>
      <c r="E8" s="1">
        <v>8</v>
      </c>
      <c r="F8" s="5">
        <v>60</v>
      </c>
    </row>
    <row r="9" spans="1:6" x14ac:dyDescent="0.45">
      <c r="A9" s="2">
        <v>0.58333333333333337</v>
      </c>
      <c r="B9" s="1" t="s">
        <v>14</v>
      </c>
      <c r="C9" s="1" t="s">
        <v>13</v>
      </c>
      <c r="D9" s="1" t="s">
        <v>11</v>
      </c>
      <c r="E9" s="1">
        <v>11</v>
      </c>
      <c r="F9" s="5">
        <v>50</v>
      </c>
    </row>
    <row r="10" spans="1:6" x14ac:dyDescent="0.45">
      <c r="A10" s="2">
        <v>0.58333333333333337</v>
      </c>
      <c r="B10" s="1" t="s">
        <v>14</v>
      </c>
      <c r="C10" s="1" t="s">
        <v>12</v>
      </c>
      <c r="D10" s="1" t="s">
        <v>11</v>
      </c>
      <c r="E10" s="1">
        <v>7</v>
      </c>
      <c r="F10" s="5">
        <v>60</v>
      </c>
    </row>
    <row r="11" spans="1:6" x14ac:dyDescent="0.45">
      <c r="A11" s="2">
        <v>0.58333333333333337</v>
      </c>
      <c r="B11" s="1" t="s">
        <v>10</v>
      </c>
      <c r="C11" s="1" t="s">
        <v>12</v>
      </c>
      <c r="D11" s="1" t="s">
        <v>9</v>
      </c>
      <c r="E11" s="1">
        <v>5</v>
      </c>
      <c r="F11" s="5">
        <v>50</v>
      </c>
    </row>
    <row r="12" spans="1:6" x14ac:dyDescent="0.45">
      <c r="A12" s="2">
        <v>0.625</v>
      </c>
      <c r="B12" s="1" t="s">
        <v>7</v>
      </c>
      <c r="C12" s="1" t="s">
        <v>13</v>
      </c>
      <c r="D12" s="1" t="s">
        <v>11</v>
      </c>
      <c r="E12" s="1">
        <v>3</v>
      </c>
      <c r="F12" s="5">
        <v>60</v>
      </c>
    </row>
    <row r="13" spans="1:6" x14ac:dyDescent="0.45">
      <c r="A13" s="2">
        <v>0.625</v>
      </c>
      <c r="B13" s="1" t="s">
        <v>7</v>
      </c>
      <c r="C13" s="1" t="s">
        <v>8</v>
      </c>
      <c r="D13" s="1" t="s">
        <v>11</v>
      </c>
      <c r="E13" s="1">
        <v>6</v>
      </c>
      <c r="F13" s="5">
        <v>50</v>
      </c>
    </row>
    <row r="14" spans="1:6" x14ac:dyDescent="0.45">
      <c r="A14" s="2">
        <v>0.625</v>
      </c>
      <c r="B14" s="1" t="s">
        <v>14</v>
      </c>
      <c r="C14" s="1" t="s">
        <v>13</v>
      </c>
      <c r="D14" s="1" t="s">
        <v>11</v>
      </c>
      <c r="E14" s="1">
        <v>3</v>
      </c>
      <c r="F14" s="5">
        <v>60</v>
      </c>
    </row>
    <row r="15" spans="1:6" x14ac:dyDescent="0.45">
      <c r="A15" s="2">
        <v>0.66666666666666663</v>
      </c>
      <c r="B15" s="1" t="s">
        <v>7</v>
      </c>
      <c r="C15" s="1" t="s">
        <v>8</v>
      </c>
      <c r="D15" s="1" t="s">
        <v>11</v>
      </c>
      <c r="E15" s="1">
        <v>9</v>
      </c>
      <c r="F15" s="5">
        <v>40</v>
      </c>
    </row>
    <row r="16" spans="1:6" x14ac:dyDescent="0.45">
      <c r="A16" s="2">
        <v>0.66666666666666663</v>
      </c>
      <c r="B16" s="1" t="s">
        <v>10</v>
      </c>
      <c r="C16" s="1" t="s">
        <v>8</v>
      </c>
      <c r="D16" s="1" t="s">
        <v>9</v>
      </c>
      <c r="E16" s="1">
        <v>12</v>
      </c>
      <c r="F16" s="5">
        <v>40</v>
      </c>
    </row>
    <row r="17" spans="1:6" x14ac:dyDescent="0.45">
      <c r="A17" s="2">
        <v>0.70833333333333337</v>
      </c>
      <c r="B17" s="1" t="s">
        <v>10</v>
      </c>
      <c r="C17" s="1" t="s">
        <v>12</v>
      </c>
      <c r="D17" s="1" t="s">
        <v>11</v>
      </c>
      <c r="E17" s="1">
        <v>7</v>
      </c>
      <c r="F17" s="5">
        <v>40</v>
      </c>
    </row>
    <row r="18" spans="1:6" x14ac:dyDescent="0.45">
      <c r="A18" s="2">
        <v>0.75</v>
      </c>
      <c r="B18" s="1" t="s">
        <v>7</v>
      </c>
      <c r="C18" s="1" t="s">
        <v>12</v>
      </c>
      <c r="D18" s="1" t="s">
        <v>9</v>
      </c>
      <c r="E18" s="1">
        <v>6</v>
      </c>
      <c r="F18" s="5">
        <v>60</v>
      </c>
    </row>
    <row r="19" spans="1:6" x14ac:dyDescent="0.45">
      <c r="A19" s="2">
        <v>0.75</v>
      </c>
      <c r="B19" s="1" t="s">
        <v>14</v>
      </c>
      <c r="C19" s="1" t="s">
        <v>13</v>
      </c>
      <c r="D19" s="1" t="s">
        <v>11</v>
      </c>
      <c r="E19" s="1">
        <v>9</v>
      </c>
      <c r="F19" s="5">
        <v>40</v>
      </c>
    </row>
    <row r="20" spans="1:6" x14ac:dyDescent="0.45">
      <c r="A20" s="2">
        <v>0.75</v>
      </c>
      <c r="B20" s="1" t="s">
        <v>10</v>
      </c>
      <c r="C20" s="1" t="s">
        <v>8</v>
      </c>
      <c r="D20" s="1" t="s">
        <v>11</v>
      </c>
      <c r="E20" s="1">
        <v>10</v>
      </c>
      <c r="F20" s="5">
        <v>60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F20"/>
  <sheetViews>
    <sheetView workbookViewId="0">
      <selection sqref="A1:F1"/>
    </sheetView>
  </sheetViews>
  <sheetFormatPr defaultRowHeight="17" x14ac:dyDescent="0.45"/>
  <cols>
    <col min="4" max="4" width="11.6640625" bestFit="1" customWidth="1"/>
  </cols>
  <sheetData>
    <row r="1" spans="1:6" ht="21" x14ac:dyDescent="0.45">
      <c r="A1" s="6" t="s">
        <v>15</v>
      </c>
      <c r="B1" s="6"/>
      <c r="C1" s="6"/>
      <c r="D1" s="6"/>
      <c r="E1" s="6"/>
      <c r="F1" s="6"/>
    </row>
    <row r="3" spans="1:6" x14ac:dyDescent="0.45">
      <c r="A3" s="3" t="s">
        <v>16</v>
      </c>
      <c r="B3" s="3" t="s">
        <v>17</v>
      </c>
      <c r="C3" s="3" t="s">
        <v>18</v>
      </c>
      <c r="D3" s="3" t="s">
        <v>19</v>
      </c>
      <c r="E3" s="3" t="s">
        <v>20</v>
      </c>
      <c r="F3" s="3" t="s">
        <v>21</v>
      </c>
    </row>
    <row r="4" spans="1:6" x14ac:dyDescent="0.45">
      <c r="A4" s="1" t="s">
        <v>22</v>
      </c>
      <c r="B4" s="1" t="s">
        <v>23</v>
      </c>
      <c r="C4" s="1" t="s">
        <v>24</v>
      </c>
      <c r="D4" s="1">
        <v>37</v>
      </c>
      <c r="E4" s="4">
        <v>331</v>
      </c>
      <c r="F4" s="1"/>
    </row>
    <row r="5" spans="1:6" x14ac:dyDescent="0.45">
      <c r="A5" s="1" t="s">
        <v>22</v>
      </c>
      <c r="B5" s="1" t="s">
        <v>25</v>
      </c>
      <c r="C5" s="1" t="s">
        <v>26</v>
      </c>
      <c r="D5" s="1">
        <v>70</v>
      </c>
      <c r="E5" s="4">
        <v>433</v>
      </c>
      <c r="F5" s="1"/>
    </row>
    <row r="6" spans="1:6" x14ac:dyDescent="0.45">
      <c r="A6" s="1" t="s">
        <v>22</v>
      </c>
      <c r="B6" s="1" t="s">
        <v>27</v>
      </c>
      <c r="C6" s="1" t="s">
        <v>28</v>
      </c>
      <c r="D6" s="1">
        <v>11</v>
      </c>
      <c r="E6" s="4">
        <v>362</v>
      </c>
      <c r="F6" s="1"/>
    </row>
    <row r="7" spans="1:6" x14ac:dyDescent="0.45">
      <c r="A7" s="1" t="s">
        <v>22</v>
      </c>
      <c r="B7" s="1" t="s">
        <v>27</v>
      </c>
      <c r="C7" s="1" t="s">
        <v>28</v>
      </c>
      <c r="D7" s="1">
        <v>28</v>
      </c>
      <c r="E7" s="4">
        <v>2</v>
      </c>
      <c r="F7" s="1" t="s">
        <v>35</v>
      </c>
    </row>
    <row r="8" spans="1:6" x14ac:dyDescent="0.45">
      <c r="A8" s="1" t="s">
        <v>29</v>
      </c>
      <c r="B8" s="1" t="s">
        <v>23</v>
      </c>
      <c r="C8" s="1" t="s">
        <v>26</v>
      </c>
      <c r="D8" s="1">
        <v>28</v>
      </c>
      <c r="E8" s="4">
        <v>62</v>
      </c>
      <c r="F8" s="1"/>
    </row>
    <row r="9" spans="1:6" x14ac:dyDescent="0.45">
      <c r="A9" s="1" t="s">
        <v>29</v>
      </c>
      <c r="B9" s="1" t="s">
        <v>25</v>
      </c>
      <c r="C9" s="1" t="s">
        <v>28</v>
      </c>
      <c r="D9" s="1">
        <v>67</v>
      </c>
      <c r="E9" s="4">
        <v>76</v>
      </c>
      <c r="F9" s="1"/>
    </row>
    <row r="10" spans="1:6" x14ac:dyDescent="0.45">
      <c r="A10" s="1" t="s">
        <v>29</v>
      </c>
      <c r="B10" s="1" t="s">
        <v>27</v>
      </c>
      <c r="C10" s="1" t="s">
        <v>30</v>
      </c>
      <c r="D10" s="1">
        <v>83</v>
      </c>
      <c r="E10" s="4">
        <v>471</v>
      </c>
      <c r="F10" s="1"/>
    </row>
    <row r="11" spans="1:6" x14ac:dyDescent="0.45">
      <c r="A11" s="1" t="s">
        <v>29</v>
      </c>
      <c r="B11" s="1" t="s">
        <v>27</v>
      </c>
      <c r="C11" s="1" t="s">
        <v>24</v>
      </c>
      <c r="D11" s="1">
        <v>36</v>
      </c>
      <c r="E11" s="4">
        <v>750</v>
      </c>
      <c r="F11" s="1"/>
    </row>
    <row r="12" spans="1:6" x14ac:dyDescent="0.45">
      <c r="A12" s="1" t="s">
        <v>31</v>
      </c>
      <c r="B12" s="1" t="s">
        <v>23</v>
      </c>
      <c r="C12" s="1" t="s">
        <v>26</v>
      </c>
      <c r="D12" s="1">
        <v>13</v>
      </c>
      <c r="E12" s="4">
        <v>914</v>
      </c>
      <c r="F12" s="1"/>
    </row>
    <row r="13" spans="1:6" x14ac:dyDescent="0.45">
      <c r="A13" s="1" t="s">
        <v>31</v>
      </c>
      <c r="B13" s="1" t="s">
        <v>25</v>
      </c>
      <c r="C13" s="1" t="s">
        <v>30</v>
      </c>
      <c r="D13" s="1">
        <v>97</v>
      </c>
      <c r="E13" s="4">
        <v>790</v>
      </c>
      <c r="F13" s="1"/>
    </row>
    <row r="14" spans="1:6" x14ac:dyDescent="0.45">
      <c r="A14" s="1" t="s">
        <v>31</v>
      </c>
      <c r="B14" s="1" t="s">
        <v>25</v>
      </c>
      <c r="C14" s="1" t="s">
        <v>24</v>
      </c>
      <c r="D14" s="1">
        <v>91</v>
      </c>
      <c r="E14" s="4">
        <v>356</v>
      </c>
      <c r="F14" s="1"/>
    </row>
    <row r="15" spans="1:6" x14ac:dyDescent="0.45">
      <c r="A15" s="1" t="s">
        <v>31</v>
      </c>
      <c r="B15" s="1" t="s">
        <v>27</v>
      </c>
      <c r="C15" s="1" t="s">
        <v>26</v>
      </c>
      <c r="D15" s="1">
        <v>5</v>
      </c>
      <c r="E15" s="4">
        <v>336</v>
      </c>
      <c r="F15" s="1"/>
    </row>
    <row r="16" spans="1:6" x14ac:dyDescent="0.45">
      <c r="A16" s="1" t="s">
        <v>32</v>
      </c>
      <c r="B16" s="1" t="s">
        <v>23</v>
      </c>
      <c r="C16" s="1" t="s">
        <v>30</v>
      </c>
      <c r="D16" s="1">
        <v>16</v>
      </c>
      <c r="E16" s="4">
        <v>322</v>
      </c>
      <c r="F16" s="1"/>
    </row>
    <row r="17" spans="1:6" x14ac:dyDescent="0.45">
      <c r="A17" s="1" t="s">
        <v>33</v>
      </c>
      <c r="B17" s="1" t="s">
        <v>23</v>
      </c>
      <c r="C17" s="1" t="s">
        <v>26</v>
      </c>
      <c r="D17" s="1">
        <v>94</v>
      </c>
      <c r="E17" s="4">
        <v>177</v>
      </c>
      <c r="F17" s="1"/>
    </row>
    <row r="18" spans="1:6" x14ac:dyDescent="0.45">
      <c r="A18" s="1" t="s">
        <v>33</v>
      </c>
      <c r="B18" s="1" t="s">
        <v>27</v>
      </c>
      <c r="C18" s="1" t="s">
        <v>30</v>
      </c>
      <c r="D18" s="1">
        <v>44</v>
      </c>
      <c r="E18" s="4">
        <v>65</v>
      </c>
      <c r="F18" s="1"/>
    </row>
    <row r="19" spans="1:6" x14ac:dyDescent="0.45">
      <c r="A19" s="1" t="s">
        <v>33</v>
      </c>
      <c r="B19" s="1" t="s">
        <v>27</v>
      </c>
      <c r="C19" s="1" t="s">
        <v>24</v>
      </c>
      <c r="D19" s="1">
        <v>51</v>
      </c>
      <c r="E19" s="4">
        <v>908</v>
      </c>
      <c r="F19" s="1"/>
    </row>
    <row r="20" spans="1:6" x14ac:dyDescent="0.45">
      <c r="A20" s="1" t="s">
        <v>34</v>
      </c>
      <c r="B20" s="1" t="s">
        <v>25</v>
      </c>
      <c r="C20" s="1" t="s">
        <v>28</v>
      </c>
      <c r="D20" s="1">
        <v>38</v>
      </c>
      <c r="E20" s="4">
        <v>874</v>
      </c>
      <c r="F20" s="1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1D4D-BDD2-4F08-9376-D68D36790950}">
  <dimension ref="A1:H14"/>
  <sheetViews>
    <sheetView workbookViewId="0">
      <selection sqref="A1:H1"/>
    </sheetView>
  </sheetViews>
  <sheetFormatPr defaultRowHeight="17" x14ac:dyDescent="0.45"/>
  <cols>
    <col min="4" max="5" width="10.58203125" bestFit="1" customWidth="1"/>
    <col min="6" max="6" width="11.6640625" customWidth="1"/>
    <col min="7" max="7" width="10.58203125" customWidth="1"/>
    <col min="8" max="8" width="11.6640625" customWidth="1"/>
  </cols>
  <sheetData>
    <row r="1" spans="1:8" ht="21" x14ac:dyDescent="0.45">
      <c r="A1" s="6" t="s">
        <v>36</v>
      </c>
      <c r="B1" s="6"/>
      <c r="C1" s="6"/>
      <c r="D1" s="6"/>
      <c r="E1" s="6"/>
      <c r="F1" s="6"/>
      <c r="G1" s="6"/>
      <c r="H1" s="6"/>
    </row>
    <row r="3" spans="1:8" x14ac:dyDescent="0.45">
      <c r="A3" s="3" t="s">
        <v>37</v>
      </c>
      <c r="B3" s="3" t="s">
        <v>38</v>
      </c>
      <c r="C3" s="3" t="s">
        <v>39</v>
      </c>
      <c r="D3" s="3" t="s">
        <v>40</v>
      </c>
      <c r="E3" s="3" t="s">
        <v>41</v>
      </c>
      <c r="F3" s="3" t="s">
        <v>42</v>
      </c>
      <c r="G3" s="3" t="s">
        <v>43</v>
      </c>
      <c r="H3" s="3" t="s">
        <v>44</v>
      </c>
    </row>
    <row r="4" spans="1:8" x14ac:dyDescent="0.45">
      <c r="A4" s="1">
        <v>20011</v>
      </c>
      <c r="B4" s="1" t="s">
        <v>45</v>
      </c>
      <c r="C4" s="1" t="s">
        <v>46</v>
      </c>
      <c r="D4" s="4">
        <v>2860000</v>
      </c>
      <c r="E4" s="4">
        <f>D4*80%</f>
        <v>2288000</v>
      </c>
      <c r="F4" s="4">
        <f>D4+E4</f>
        <v>5148000</v>
      </c>
      <c r="G4" s="4">
        <f>F4*12%</f>
        <v>617760</v>
      </c>
      <c r="H4" s="4">
        <f>F4-G4</f>
        <v>4530240</v>
      </c>
    </row>
    <row r="5" spans="1:8" x14ac:dyDescent="0.45">
      <c r="A5" s="1">
        <v>20016</v>
      </c>
      <c r="B5" s="1" t="s">
        <v>47</v>
      </c>
      <c r="C5" s="1" t="s">
        <v>48</v>
      </c>
      <c r="D5" s="4">
        <v>1800000</v>
      </c>
      <c r="E5" s="4">
        <f t="shared" ref="E5:E14" si="0">D5*80%</f>
        <v>1440000</v>
      </c>
      <c r="F5" s="4">
        <f t="shared" ref="F5:F14" si="1">D5+E5</f>
        <v>3240000</v>
      </c>
      <c r="G5" s="4">
        <f t="shared" ref="G5:G14" si="2">F5*12%</f>
        <v>388800</v>
      </c>
      <c r="H5" s="4">
        <f t="shared" ref="H5:H14" si="3">F5-G5</f>
        <v>2851200</v>
      </c>
    </row>
    <row r="6" spans="1:8" x14ac:dyDescent="0.45">
      <c r="A6" s="1">
        <v>20017</v>
      </c>
      <c r="B6" s="1" t="s">
        <v>49</v>
      </c>
      <c r="C6" s="1" t="s">
        <v>46</v>
      </c>
      <c r="D6" s="4">
        <v>2700000</v>
      </c>
      <c r="E6" s="4">
        <f t="shared" si="0"/>
        <v>2160000</v>
      </c>
      <c r="F6" s="4">
        <f t="shared" si="1"/>
        <v>4860000</v>
      </c>
      <c r="G6" s="4">
        <f t="shared" si="2"/>
        <v>583200</v>
      </c>
      <c r="H6" s="4">
        <f t="shared" si="3"/>
        <v>4276800</v>
      </c>
    </row>
    <row r="7" spans="1:8" x14ac:dyDescent="0.45">
      <c r="A7" s="1">
        <v>20022</v>
      </c>
      <c r="B7" s="1" t="s">
        <v>50</v>
      </c>
      <c r="C7" s="1" t="s">
        <v>51</v>
      </c>
      <c r="D7" s="4">
        <v>3350000</v>
      </c>
      <c r="E7" s="4">
        <f t="shared" si="0"/>
        <v>2680000</v>
      </c>
      <c r="F7" s="4">
        <f t="shared" si="1"/>
        <v>6030000</v>
      </c>
      <c r="G7" s="4">
        <f t="shared" si="2"/>
        <v>723600</v>
      </c>
      <c r="H7" s="4">
        <f t="shared" si="3"/>
        <v>5306400</v>
      </c>
    </row>
    <row r="8" spans="1:8" x14ac:dyDescent="0.45">
      <c r="A8" s="1">
        <v>20023</v>
      </c>
      <c r="B8" s="1" t="s">
        <v>52</v>
      </c>
      <c r="C8" s="1" t="s">
        <v>48</v>
      </c>
      <c r="D8" s="4">
        <v>1900000</v>
      </c>
      <c r="E8" s="4">
        <f t="shared" si="0"/>
        <v>1520000</v>
      </c>
      <c r="F8" s="4">
        <f t="shared" si="1"/>
        <v>3420000</v>
      </c>
      <c r="G8" s="4">
        <f t="shared" si="2"/>
        <v>410400</v>
      </c>
      <c r="H8" s="4">
        <f t="shared" si="3"/>
        <v>3009600</v>
      </c>
    </row>
    <row r="9" spans="1:8" x14ac:dyDescent="0.45">
      <c r="A9" s="1">
        <v>20024</v>
      </c>
      <c r="B9" s="1" t="s">
        <v>53</v>
      </c>
      <c r="C9" s="1" t="s">
        <v>54</v>
      </c>
      <c r="D9" s="4">
        <v>2350000</v>
      </c>
      <c r="E9" s="4">
        <f t="shared" si="0"/>
        <v>1880000</v>
      </c>
      <c r="F9" s="4">
        <f t="shared" si="1"/>
        <v>4230000</v>
      </c>
      <c r="G9" s="4">
        <f t="shared" si="2"/>
        <v>507600</v>
      </c>
      <c r="H9" s="4">
        <f t="shared" si="3"/>
        <v>3722400</v>
      </c>
    </row>
    <row r="10" spans="1:8" x14ac:dyDescent="0.45">
      <c r="A10" s="1">
        <v>20027</v>
      </c>
      <c r="B10" s="1" t="s">
        <v>55</v>
      </c>
      <c r="C10" s="1" t="s">
        <v>48</v>
      </c>
      <c r="D10" s="4">
        <v>1950000</v>
      </c>
      <c r="E10" s="4">
        <f t="shared" si="0"/>
        <v>1560000</v>
      </c>
      <c r="F10" s="4">
        <f t="shared" si="1"/>
        <v>3510000</v>
      </c>
      <c r="G10" s="4">
        <f t="shared" si="2"/>
        <v>421200</v>
      </c>
      <c r="H10" s="4">
        <f t="shared" si="3"/>
        <v>3088800</v>
      </c>
    </row>
    <row r="11" spans="1:8" x14ac:dyDescent="0.45">
      <c r="A11" s="1">
        <v>20031</v>
      </c>
      <c r="B11" s="1" t="s">
        <v>56</v>
      </c>
      <c r="C11" s="1" t="s">
        <v>51</v>
      </c>
      <c r="D11" s="4">
        <v>3500000</v>
      </c>
      <c r="E11" s="4">
        <f t="shared" si="0"/>
        <v>2800000</v>
      </c>
      <c r="F11" s="4">
        <f t="shared" si="1"/>
        <v>6300000</v>
      </c>
      <c r="G11" s="4">
        <f t="shared" si="2"/>
        <v>756000</v>
      </c>
      <c r="H11" s="4">
        <f t="shared" si="3"/>
        <v>5544000</v>
      </c>
    </row>
    <row r="12" spans="1:8" x14ac:dyDescent="0.45">
      <c r="A12" s="1">
        <v>20036</v>
      </c>
      <c r="B12" s="1" t="s">
        <v>57</v>
      </c>
      <c r="C12" s="1" t="s">
        <v>54</v>
      </c>
      <c r="D12" s="4">
        <v>2200000</v>
      </c>
      <c r="E12" s="4">
        <f t="shared" si="0"/>
        <v>1760000</v>
      </c>
      <c r="F12" s="4">
        <f t="shared" si="1"/>
        <v>3960000</v>
      </c>
      <c r="G12" s="4">
        <f t="shared" si="2"/>
        <v>475200</v>
      </c>
      <c r="H12" s="4">
        <f t="shared" si="3"/>
        <v>3484800</v>
      </c>
    </row>
    <row r="13" spans="1:8" x14ac:dyDescent="0.45">
      <c r="A13" s="1">
        <v>20037</v>
      </c>
      <c r="B13" s="1" t="s">
        <v>58</v>
      </c>
      <c r="C13" s="1" t="s">
        <v>54</v>
      </c>
      <c r="D13" s="4">
        <v>2200000</v>
      </c>
      <c r="E13" s="4">
        <f t="shared" si="0"/>
        <v>1760000</v>
      </c>
      <c r="F13" s="4">
        <f t="shared" si="1"/>
        <v>3960000</v>
      </c>
      <c r="G13" s="4">
        <f t="shared" si="2"/>
        <v>475200</v>
      </c>
      <c r="H13" s="4">
        <f t="shared" si="3"/>
        <v>3484800</v>
      </c>
    </row>
    <row r="14" spans="1:8" x14ac:dyDescent="0.45">
      <c r="A14" s="1">
        <v>20038</v>
      </c>
      <c r="B14" s="1" t="s">
        <v>59</v>
      </c>
      <c r="C14" s="1" t="s">
        <v>48</v>
      </c>
      <c r="D14" s="4">
        <v>1850000</v>
      </c>
      <c r="E14" s="4">
        <f t="shared" si="0"/>
        <v>1480000</v>
      </c>
      <c r="F14" s="4">
        <f t="shared" si="1"/>
        <v>3330000</v>
      </c>
      <c r="G14" s="4">
        <f t="shared" si="2"/>
        <v>399600</v>
      </c>
      <c r="H14" s="4">
        <f t="shared" si="3"/>
        <v>2930400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2023-09-26T05:15:59Z</dcterms:modified>
</cp:coreProperties>
</file>