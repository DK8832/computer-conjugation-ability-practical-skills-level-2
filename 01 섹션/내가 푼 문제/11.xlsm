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62562868-44B5-44FB-83D5-E941C96D80DB}" xr6:coauthVersionLast="47" xr6:coauthVersionMax="47" xr10:uidLastSave="{00000000-0000-0000-0000-000000000000}"/>
  <bookViews>
    <workbookView xWindow="-110" yWindow="-110" windowWidth="38620" windowHeight="2136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pivotCaches>
    <pivotCache cacheId="0" r:id="rId4"/>
    <pivotCache cacheId="2" r:id="rId5"/>
    <pivotCache cacheId="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G11" i="5"/>
  <c r="G4" i="5"/>
  <c r="G5" i="4"/>
  <c r="G6" i="4"/>
  <c r="G7" i="4"/>
  <c r="G8" i="4"/>
  <c r="G9" i="4"/>
  <c r="G10" i="4"/>
  <c r="G11" i="4"/>
  <c r="G12" i="4"/>
  <c r="G13" i="4"/>
  <c r="G14" i="4"/>
  <c r="G15" i="4"/>
  <c r="G4" i="4"/>
  <c r="G5" i="6"/>
  <c r="G6" i="6"/>
  <c r="G7" i="6"/>
  <c r="G8" i="6"/>
  <c r="G9" i="6"/>
  <c r="G10" i="6"/>
  <c r="G11" i="6"/>
  <c r="G12" i="6"/>
  <c r="G13" i="6"/>
  <c r="G4" i="6"/>
</calcChain>
</file>

<file path=xl/sharedStrings.xml><?xml version="1.0" encoding="utf-8"?>
<sst xmlns="http://schemas.openxmlformats.org/spreadsheetml/2006/main" count="151" uniqueCount="75">
  <si>
    <t>2월 급여계산 내역</t>
    <phoneticPr fontId="1" type="noConversion"/>
  </si>
  <si>
    <t>이름</t>
  </si>
  <si>
    <t>부서명</t>
  </si>
  <si>
    <t>직위</t>
  </si>
  <si>
    <t>기본급</t>
  </si>
  <si>
    <t>상여급</t>
  </si>
  <si>
    <t>세금</t>
  </si>
  <si>
    <t>실수령액</t>
  </si>
  <si>
    <t>김가네</t>
  </si>
  <si>
    <t>경리부</t>
  </si>
  <si>
    <t>과장</t>
  </si>
  <si>
    <t>남이사</t>
  </si>
  <si>
    <t>인사부</t>
  </si>
  <si>
    <t>이영감</t>
  </si>
  <si>
    <t>영업부</t>
  </si>
  <si>
    <t>최참봉</t>
  </si>
  <si>
    <t>대리</t>
  </si>
  <si>
    <t>박달재</t>
  </si>
  <si>
    <t>서섭이</t>
  </si>
  <si>
    <t>기획부</t>
  </si>
  <si>
    <t>장사진</t>
  </si>
  <si>
    <t>사원</t>
  </si>
  <si>
    <t>탁자용</t>
  </si>
  <si>
    <t>조갑이</t>
  </si>
  <si>
    <t>강두길</t>
  </si>
  <si>
    <t>제품 판매 현황</t>
    <phoneticPr fontId="1" type="noConversion"/>
  </si>
  <si>
    <t>판매일자</t>
  </si>
  <si>
    <t>제품코드</t>
  </si>
  <si>
    <t>판매형태</t>
  </si>
  <si>
    <t>단가</t>
  </si>
  <si>
    <t>납품수량</t>
  </si>
  <si>
    <t>반품수량</t>
  </si>
  <si>
    <t>매출액</t>
  </si>
  <si>
    <t>A-134</t>
  </si>
  <si>
    <t>완제품</t>
  </si>
  <si>
    <t>B-312</t>
  </si>
  <si>
    <t>부품</t>
  </si>
  <si>
    <t>연수 점수 현황</t>
    <phoneticPr fontId="1" type="noConversion"/>
  </si>
  <si>
    <t>등급</t>
  </si>
  <si>
    <t>성명</t>
  </si>
  <si>
    <t>과정코드</t>
  </si>
  <si>
    <t>근무점수</t>
  </si>
  <si>
    <t>경력점수</t>
  </si>
  <si>
    <t>어학점수</t>
  </si>
  <si>
    <t>총점</t>
  </si>
  <si>
    <t>고급반</t>
  </si>
  <si>
    <t>서정민</t>
  </si>
  <si>
    <t>영어</t>
  </si>
  <si>
    <t>중급반</t>
  </si>
  <si>
    <t>우정승</t>
  </si>
  <si>
    <t>전산</t>
  </si>
  <si>
    <t>기초반</t>
  </si>
  <si>
    <t>이정혜</t>
  </si>
  <si>
    <t>마케팅</t>
  </si>
  <si>
    <t>이다해</t>
  </si>
  <si>
    <t>김천수</t>
  </si>
  <si>
    <t>강재복</t>
  </si>
  <si>
    <t>이진영</t>
  </si>
  <si>
    <t>김지영</t>
  </si>
  <si>
    <t>(모두)</t>
  </si>
  <si>
    <t>행 레이블</t>
  </si>
  <si>
    <t>총합계</t>
  </si>
  <si>
    <t>열 레이블</t>
  </si>
  <si>
    <t>최대 : 상여급</t>
  </si>
  <si>
    <t>평균 : 실수령액</t>
  </si>
  <si>
    <t>#</t>
  </si>
  <si>
    <t>합계 : 납품수량</t>
  </si>
  <si>
    <t>1월</t>
  </si>
  <si>
    <t>2월</t>
  </si>
  <si>
    <t>3월</t>
  </si>
  <si>
    <t>최대 : 근무점수</t>
  </si>
  <si>
    <t>전체 최대 : 근무점수</t>
  </si>
  <si>
    <t>최소 : 경력점수</t>
  </si>
  <si>
    <t>전체 최소 : 경력점수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</si>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</sst>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213.464402893522" createdVersion="7" refreshedVersion="7" minRefreshableVersion="3" recordCount="10" xr:uid="{FEDB3312-2998-46D9-8987-CC1D3024FBCE}">
  <cacheSource type="worksheet">
    <worksheetSource ref="A3:G13" sheet="무작정따라하기"/>
  </cacheSource>
  <cacheFields count="7">
    <cacheField name="이름" numFmtId="0">
      <sharedItems count="10">
        <s v="김가네"/>
        <s v="남이사"/>
        <s v="이영감"/>
        <s v="최참봉"/>
        <s v="박달재"/>
        <s v="서섭이"/>
        <s v="장사진"/>
        <s v="탁자용"/>
        <s v="조갑이"/>
        <s v="강두길"/>
      </sharedItems>
    </cacheField>
    <cacheField name="부서명" numFmtId="0">
      <sharedItems count="4">
        <s v="경리부"/>
        <s v="인사부"/>
        <s v="영업부"/>
        <s v="기획부"/>
      </sharedItems>
    </cacheField>
    <cacheField name="직위" numFmtId="0">
      <sharedItems count="3">
        <s v="과장"/>
        <s v="대리"/>
        <s v="사원"/>
      </sharedItems>
    </cacheField>
    <cacheField name="기본급" numFmtId="41">
      <sharedItems containsSemiMixedTypes="0" containsString="0" containsNumber="1" containsInteger="1" minValue="1890" maxValue="2800"/>
    </cacheField>
    <cacheField name="상여급" numFmtId="41">
      <sharedItems containsSemiMixedTypes="0" containsString="0" containsNumber="1" containsInteger="1" minValue="1134" maxValue="1680"/>
    </cacheField>
    <cacheField name="세금" numFmtId="41">
      <sharedItems containsSemiMixedTypes="0" containsString="0" containsNumber="1" containsInteger="1" minValue="393" maxValue="582"/>
    </cacheField>
    <cacheField name="실수령액" numFmtId="41">
      <sharedItems containsSemiMixedTypes="0" containsString="0" containsNumber="1" containsInteger="1" minValue="2631" maxValue="38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213.474530671294" createdVersion="7" refreshedVersion="7" minRefreshableVersion="3" recordCount="8" xr:uid="{080E75D0-78AE-4110-ABC0-A9F11D111B9A}">
  <cacheSource type="worksheet">
    <worksheetSource ref="A3:G11" sheet="기출02"/>
  </cacheSource>
  <cacheFields count="7">
    <cacheField name="등급" numFmtId="0">
      <sharedItems count="3">
        <s v="고급반"/>
        <s v="중급반"/>
        <s v="기초반"/>
      </sharedItems>
    </cacheField>
    <cacheField name="성명" numFmtId="0">
      <sharedItems count="8">
        <s v="서정민"/>
        <s v="우정승"/>
        <s v="이정혜"/>
        <s v="이다해"/>
        <s v="김천수"/>
        <s v="강재복"/>
        <s v="이진영"/>
        <s v="김지영"/>
      </sharedItems>
    </cacheField>
    <cacheField name="과정코드" numFmtId="0">
      <sharedItems count="3">
        <s v="영어"/>
        <s v="전산"/>
        <s v="마케팅"/>
      </sharedItems>
    </cacheField>
    <cacheField name="근무점수" numFmtId="0">
      <sharedItems containsSemiMixedTypes="0" containsString="0" containsNumber="1" containsInteger="1" minValue="2" maxValue="25"/>
    </cacheField>
    <cacheField name="경력점수" numFmtId="0">
      <sharedItems containsSemiMixedTypes="0" containsString="0" containsNumber="1" containsInteger="1" minValue="1" maxValue="7"/>
    </cacheField>
    <cacheField name="어학점수" numFmtId="0">
      <sharedItems containsSemiMixedTypes="0" containsString="0" containsNumber="1" containsInteger="1" minValue="59" maxValue="80"/>
    </cacheField>
    <cacheField name="총점" numFmtId="0">
      <sharedItems containsSemiMixedTypes="0" containsString="0" containsNumber="1" containsInteger="1" minValue="75" maxValue="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89.634053009257" createdVersion="7" refreshedVersion="7" minRefreshableVersion="3" recordCount="12" xr:uid="{F64C2410-E690-405C-B8CD-2ABD6ECC8F04}">
  <cacheSource type="worksheet">
    <worksheetSource ref="A3:G15" sheet="기출01"/>
  </cacheSource>
  <cacheFields count="7">
    <cacheField name="판매일자" numFmtId="14">
      <sharedItems containsSemiMixedTypes="0" containsNonDate="0" containsDate="1" containsString="0" minDate="2024-01-04T00:00:00" maxDate="2024-03-24T00:00:00" count="12">
        <d v="2024-01-04T00:00:00"/>
        <d v="2024-01-14T00:00:00"/>
        <d v="2024-01-25T00:00:00"/>
        <d v="2024-01-30T00:00:00"/>
        <d v="2024-02-05T00:00:00"/>
        <d v="2024-02-15T00:00:00"/>
        <d v="2024-02-18T00:00:00"/>
        <d v="2024-02-23T00:00:00"/>
        <d v="2024-03-02T00:00:00"/>
        <d v="2024-03-11T00:00:00"/>
        <d v="2024-03-13T00:00:00"/>
        <d v="2024-03-23T00:00:00"/>
      </sharedItems>
      <fieldGroup base="0">
        <rangePr groupBy="months" startDate="2024-01-04T00:00:00" endDate="2024-03-24T00:00:00"/>
        <groupItems count="14">
          <s v="&lt;2024-01-04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3-24"/>
        </groupItems>
      </fieldGroup>
    </cacheField>
    <cacheField name="제품코드" numFmtId="0">
      <sharedItems count="2">
        <s v="A-134"/>
        <s v="B-312"/>
      </sharedItems>
    </cacheField>
    <cacheField name="판매형태" numFmtId="0">
      <sharedItems count="2">
        <s v="완제품"/>
        <s v="부품"/>
      </sharedItems>
    </cacheField>
    <cacheField name="단가" numFmtId="0">
      <sharedItems containsSemiMixedTypes="0" containsString="0" containsNumber="1" containsInteger="1" minValue="350" maxValue="580"/>
    </cacheField>
    <cacheField name="납품수량" numFmtId="0">
      <sharedItems containsSemiMixedTypes="0" containsString="0" containsNumber="1" containsInteger="1" minValue="170" maxValue="546"/>
    </cacheField>
    <cacheField name="반품수량" numFmtId="0">
      <sharedItems containsSemiMixedTypes="0" containsString="0" containsNumber="1" containsInteger="1" minValue="1" maxValue="8"/>
    </cacheField>
    <cacheField name="매출액" numFmtId="41">
      <sharedItems containsSemiMixedTypes="0" containsString="0" containsNumber="1" containsInteger="1" minValue="57750" maxValue="3050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2800"/>
    <n v="1680"/>
    <n v="582"/>
    <n v="3898"/>
  </r>
  <r>
    <x v="1"/>
    <x v="1"/>
    <x v="0"/>
    <n v="2750"/>
    <n v="1650"/>
    <n v="572"/>
    <n v="3828"/>
  </r>
  <r>
    <x v="2"/>
    <x v="2"/>
    <x v="0"/>
    <n v="2550"/>
    <n v="1530"/>
    <n v="530"/>
    <n v="3550"/>
  </r>
  <r>
    <x v="3"/>
    <x v="0"/>
    <x v="1"/>
    <n v="2480"/>
    <n v="1488"/>
    <n v="516"/>
    <n v="3452"/>
  </r>
  <r>
    <x v="4"/>
    <x v="1"/>
    <x v="1"/>
    <n v="2400"/>
    <n v="1440"/>
    <n v="499"/>
    <n v="3341"/>
  </r>
  <r>
    <x v="5"/>
    <x v="3"/>
    <x v="1"/>
    <n v="2350"/>
    <n v="1410"/>
    <n v="489"/>
    <n v="3271"/>
  </r>
  <r>
    <x v="6"/>
    <x v="0"/>
    <x v="2"/>
    <n v="2200"/>
    <n v="1320"/>
    <n v="458"/>
    <n v="3062"/>
  </r>
  <r>
    <x v="7"/>
    <x v="3"/>
    <x v="2"/>
    <n v="2050"/>
    <n v="1230"/>
    <n v="426"/>
    <n v="2854"/>
  </r>
  <r>
    <x v="8"/>
    <x v="2"/>
    <x v="2"/>
    <n v="1980"/>
    <n v="1188"/>
    <n v="412"/>
    <n v="2756"/>
  </r>
  <r>
    <x v="9"/>
    <x v="1"/>
    <x v="2"/>
    <n v="1890"/>
    <n v="1134"/>
    <n v="393"/>
    <n v="263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n v="20"/>
    <n v="7"/>
    <n v="70"/>
    <n v="97"/>
  </r>
  <r>
    <x v="1"/>
    <x v="1"/>
    <x v="1"/>
    <n v="4"/>
    <n v="1"/>
    <n v="80"/>
    <n v="85"/>
  </r>
  <r>
    <x v="2"/>
    <x v="2"/>
    <x v="2"/>
    <n v="2"/>
    <n v="1"/>
    <n v="75"/>
    <n v="78"/>
  </r>
  <r>
    <x v="2"/>
    <x v="3"/>
    <x v="0"/>
    <n v="10"/>
    <n v="5"/>
    <n v="74"/>
    <n v="89"/>
  </r>
  <r>
    <x v="1"/>
    <x v="4"/>
    <x v="1"/>
    <n v="23"/>
    <n v="7"/>
    <n v="60"/>
    <n v="90"/>
  </r>
  <r>
    <x v="2"/>
    <x v="5"/>
    <x v="1"/>
    <n v="25"/>
    <n v="7"/>
    <n v="59"/>
    <n v="91"/>
  </r>
  <r>
    <x v="0"/>
    <x v="6"/>
    <x v="2"/>
    <n v="8"/>
    <n v="3"/>
    <n v="64"/>
    <n v="75"/>
  </r>
  <r>
    <x v="1"/>
    <x v="7"/>
    <x v="0"/>
    <n v="9"/>
    <n v="3"/>
    <n v="78"/>
    <n v="9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350"/>
    <n v="170"/>
    <n v="5"/>
    <n v="57750"/>
  </r>
  <r>
    <x v="1"/>
    <x v="1"/>
    <x v="1"/>
    <n v="580"/>
    <n v="278"/>
    <n v="4"/>
    <n v="158920"/>
  </r>
  <r>
    <x v="2"/>
    <x v="0"/>
    <x v="1"/>
    <n v="350"/>
    <n v="349"/>
    <n v="1"/>
    <n v="121800"/>
  </r>
  <r>
    <x v="3"/>
    <x v="1"/>
    <x v="0"/>
    <n v="580"/>
    <n v="321"/>
    <n v="7"/>
    <n v="182120"/>
  </r>
  <r>
    <x v="4"/>
    <x v="0"/>
    <x v="0"/>
    <n v="350"/>
    <n v="546"/>
    <n v="8"/>
    <n v="188300"/>
  </r>
  <r>
    <x v="5"/>
    <x v="0"/>
    <x v="1"/>
    <n v="350"/>
    <n v="246"/>
    <n v="2"/>
    <n v="85400"/>
  </r>
  <r>
    <x v="6"/>
    <x v="1"/>
    <x v="1"/>
    <n v="580"/>
    <n v="531"/>
    <n v="5"/>
    <n v="305080"/>
  </r>
  <r>
    <x v="7"/>
    <x v="0"/>
    <x v="1"/>
    <n v="350"/>
    <n v="521"/>
    <n v="3"/>
    <n v="181300"/>
  </r>
  <r>
    <x v="8"/>
    <x v="0"/>
    <x v="0"/>
    <n v="350"/>
    <n v="321"/>
    <n v="7"/>
    <n v="109900"/>
  </r>
  <r>
    <x v="9"/>
    <x v="1"/>
    <x v="0"/>
    <n v="580"/>
    <n v="279"/>
    <n v="5"/>
    <n v="158920"/>
  </r>
  <r>
    <x v="10"/>
    <x v="0"/>
    <x v="0"/>
    <n v="580"/>
    <n v="391"/>
    <n v="3"/>
    <n v="225040"/>
  </r>
  <r>
    <x v="11"/>
    <x v="1"/>
    <x v="1"/>
    <n v="580"/>
    <n v="372"/>
    <n v="2"/>
    <n v="214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D7F0AD-FB43-41DE-BBE0-A91B175541DC}" name="피벗 테이블1" cacheId="0" applyNumberFormats="0" applyBorderFormats="0" applyFontFormats="0" applyPatternFormats="0" applyAlignmentFormats="0" applyWidthHeightFormats="1" dataCaption="값" missingCaption="#" updatedVersion="7" minRefreshableVersion="3" useAutoFormatting="1" rowGrandTotals="0" colGrandTotals="0" itemPrintTitles="1" createdVersion="7" indent="0" outline="1" outlineData="1" multipleFieldFilters="0">
  <location ref="A18:G24" firstHeaderRow="1" firstDataRow="3" firstDataCol="1" rowPageCount="1" colPageCount="1"/>
  <pivotFields count="7">
    <pivotField axis="axisPage" showAll="0">
      <items count="11">
        <item x="9"/>
        <item x="0"/>
        <item x="1"/>
        <item x="4"/>
        <item x="5"/>
        <item x="2"/>
        <item x="6"/>
        <item x="8"/>
        <item x="3"/>
        <item x="7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axis="axisCol" showAll="0">
      <items count="4">
        <item x="0"/>
        <item x="1"/>
        <item x="2"/>
        <item t="default"/>
      </items>
    </pivotField>
    <pivotField numFmtId="41" showAll="0"/>
    <pivotField dataField="1" numFmtId="41" showAll="0"/>
    <pivotField numFmtId="41" showAll="0"/>
    <pivotField dataField="1" numFmtId="41" showAll="0"/>
  </pivotFields>
  <rowFields count="1">
    <field x="1"/>
  </rowFields>
  <rowItems count="4">
    <i>
      <x/>
    </i>
    <i>
      <x v="1"/>
    </i>
    <i>
      <x v="2"/>
    </i>
    <i>
      <x v="3"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최대 : 상여급" fld="4" subtotal="max" baseField="1" baseItem="0" numFmtId="176"/>
    <dataField name="평균 : 실수령액" fld="6" subtotal="average" baseField="1" baseItem="0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77B842-DD55-4A63-AB50-02BDD496100B}" name="피벗 테이블2" cacheId="9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7" indent="0" outline="1" outlineData="1" multipleFieldFilters="0">
  <location ref="A21:D25" firstHeaderRow="1" firstDataRow="2" firstDataCol="1" rowPageCount="1" colPageCount="1"/>
  <pivotFields count="7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dataField="1" showAll="0"/>
    <pivotField showAll="0"/>
    <pivotField numFmtId="41" showAll="0"/>
  </pivotFields>
  <rowFields count="1">
    <field x="0"/>
  </rowFields>
  <rowItems count="3">
    <i>
      <x v="1"/>
    </i>
    <i>
      <x v="2"/>
    </i>
    <i>
      <x v="3"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납품수량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31474-8AFB-48AB-AA97-F8FD4F1E4B69}" name="피벗 테이블3" cacheId="2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F25" firstHeaderRow="1" firstDataRow="2" firstDataCol="2" rowPageCount="1" colPageCount="1"/>
  <pivotFields count="7">
    <pivotField axis="axisRow" compact="0" showAll="0">
      <items count="4">
        <item x="0"/>
        <item h="1" x="2"/>
        <item x="1"/>
        <item t="default"/>
      </items>
    </pivotField>
    <pivotField axis="axisPage" compact="0" showAll="0">
      <items count="9">
        <item x="5"/>
        <item x="7"/>
        <item x="4"/>
        <item x="0"/>
        <item x="1"/>
        <item x="3"/>
        <item x="2"/>
        <item x="6"/>
        <item t="default"/>
      </items>
    </pivotField>
    <pivotField axis="axisCol" compact="0" showAll="0">
      <items count="4">
        <item x="2"/>
        <item x="0"/>
        <item x="1"/>
        <item t="default"/>
      </items>
    </pivotField>
    <pivotField dataField="1" compact="0" showAll="0"/>
    <pivotField dataField="1" compact="0" showAll="0"/>
    <pivotField compact="0" showAll="0"/>
    <pivotField compact="0" showAll="0"/>
  </pivotFields>
  <rowFields count="2">
    <field x="0"/>
    <field x="-2"/>
  </rowFields>
  <rowItems count="8">
    <i>
      <x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2">
    <dataField name="최대 : 근무점수" fld="3" subtotal="max" baseField="0" baseItem="0"/>
    <dataField name="최소 : 경력점수" fld="4" subtotal="min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G24"/>
  <sheetViews>
    <sheetView tabSelected="1" workbookViewId="0">
      <selection sqref="A1:G1"/>
    </sheetView>
  </sheetViews>
  <sheetFormatPr defaultRowHeight="17" x14ac:dyDescent="0.45"/>
  <cols>
    <col min="1" max="1" width="11.4140625" bestFit="1" customWidth="1"/>
    <col min="2" max="2" width="12.5" bestFit="1" customWidth="1"/>
    <col min="3" max="3" width="14.5" bestFit="1" customWidth="1"/>
    <col min="4" max="4" width="12.5" bestFit="1" customWidth="1"/>
    <col min="5" max="5" width="14.5" bestFit="1" customWidth="1"/>
    <col min="6" max="6" width="12.5" bestFit="1" customWidth="1"/>
    <col min="7" max="7" width="14.5" bestFit="1" customWidth="1"/>
    <col min="8" max="8" width="17.1640625" bestFit="1" customWidth="1"/>
    <col min="9" max="9" width="19.1640625" bestFit="1" customWidth="1"/>
  </cols>
  <sheetData>
    <row r="1" spans="1:7" ht="21" x14ac:dyDescent="0.45">
      <c r="A1" s="9" t="s">
        <v>0</v>
      </c>
      <c r="B1" s="9"/>
      <c r="C1" s="9"/>
      <c r="D1" s="9"/>
      <c r="E1" s="9"/>
      <c r="F1" s="9"/>
      <c r="G1" s="9"/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8</v>
      </c>
      <c r="B4" s="1" t="s">
        <v>9</v>
      </c>
      <c r="C4" s="1" t="s">
        <v>10</v>
      </c>
      <c r="D4" s="2">
        <v>2800</v>
      </c>
      <c r="E4" s="2">
        <v>1680</v>
      </c>
      <c r="F4" s="2">
        <v>582</v>
      </c>
      <c r="G4" s="2">
        <f>D4+E4-F4</f>
        <v>3898</v>
      </c>
    </row>
    <row r="5" spans="1:7" x14ac:dyDescent="0.45">
      <c r="A5" s="1" t="s">
        <v>11</v>
      </c>
      <c r="B5" s="1" t="s">
        <v>12</v>
      </c>
      <c r="C5" s="1" t="s">
        <v>10</v>
      </c>
      <c r="D5" s="2">
        <v>2750</v>
      </c>
      <c r="E5" s="2">
        <v>1650</v>
      </c>
      <c r="F5" s="2">
        <v>572</v>
      </c>
      <c r="G5" s="2">
        <f t="shared" ref="G5:G13" si="0">D5+E5-F5</f>
        <v>3828</v>
      </c>
    </row>
    <row r="6" spans="1:7" x14ac:dyDescent="0.45">
      <c r="A6" s="1" t="s">
        <v>13</v>
      </c>
      <c r="B6" s="1" t="s">
        <v>14</v>
      </c>
      <c r="C6" s="1" t="s">
        <v>10</v>
      </c>
      <c r="D6" s="2">
        <v>2550</v>
      </c>
      <c r="E6" s="2">
        <v>1530</v>
      </c>
      <c r="F6" s="2">
        <v>530</v>
      </c>
      <c r="G6" s="2">
        <f t="shared" si="0"/>
        <v>3550</v>
      </c>
    </row>
    <row r="7" spans="1:7" x14ac:dyDescent="0.45">
      <c r="A7" s="1" t="s">
        <v>15</v>
      </c>
      <c r="B7" s="1" t="s">
        <v>9</v>
      </c>
      <c r="C7" s="1" t="s">
        <v>16</v>
      </c>
      <c r="D7" s="2">
        <v>2480</v>
      </c>
      <c r="E7" s="2">
        <v>1488</v>
      </c>
      <c r="F7" s="2">
        <v>516</v>
      </c>
      <c r="G7" s="2">
        <f t="shared" si="0"/>
        <v>3452</v>
      </c>
    </row>
    <row r="8" spans="1:7" x14ac:dyDescent="0.45">
      <c r="A8" s="1" t="s">
        <v>17</v>
      </c>
      <c r="B8" s="1" t="s">
        <v>12</v>
      </c>
      <c r="C8" s="1" t="s">
        <v>16</v>
      </c>
      <c r="D8" s="2">
        <v>2400</v>
      </c>
      <c r="E8" s="2">
        <v>1440</v>
      </c>
      <c r="F8" s="2">
        <v>499</v>
      </c>
      <c r="G8" s="2">
        <f t="shared" si="0"/>
        <v>3341</v>
      </c>
    </row>
    <row r="9" spans="1:7" x14ac:dyDescent="0.45">
      <c r="A9" s="1" t="s">
        <v>18</v>
      </c>
      <c r="B9" s="1" t="s">
        <v>19</v>
      </c>
      <c r="C9" s="1" t="s">
        <v>16</v>
      </c>
      <c r="D9" s="2">
        <v>2350</v>
      </c>
      <c r="E9" s="2">
        <v>1410</v>
      </c>
      <c r="F9" s="2">
        <v>489</v>
      </c>
      <c r="G9" s="2">
        <f t="shared" si="0"/>
        <v>3271</v>
      </c>
    </row>
    <row r="10" spans="1:7" x14ac:dyDescent="0.45">
      <c r="A10" s="1" t="s">
        <v>20</v>
      </c>
      <c r="B10" s="1" t="s">
        <v>9</v>
      </c>
      <c r="C10" s="1" t="s">
        <v>21</v>
      </c>
      <c r="D10" s="2">
        <v>2200</v>
      </c>
      <c r="E10" s="2">
        <v>1320</v>
      </c>
      <c r="F10" s="2">
        <v>458</v>
      </c>
      <c r="G10" s="2">
        <f t="shared" si="0"/>
        <v>3062</v>
      </c>
    </row>
    <row r="11" spans="1:7" x14ac:dyDescent="0.45">
      <c r="A11" s="1" t="s">
        <v>22</v>
      </c>
      <c r="B11" s="1" t="s">
        <v>19</v>
      </c>
      <c r="C11" s="1" t="s">
        <v>21</v>
      </c>
      <c r="D11" s="2">
        <v>2050</v>
      </c>
      <c r="E11" s="2">
        <v>1230</v>
      </c>
      <c r="F11" s="2">
        <v>426</v>
      </c>
      <c r="G11" s="2">
        <f t="shared" si="0"/>
        <v>2854</v>
      </c>
    </row>
    <row r="12" spans="1:7" x14ac:dyDescent="0.45">
      <c r="A12" s="1" t="s">
        <v>23</v>
      </c>
      <c r="B12" s="1" t="s">
        <v>14</v>
      </c>
      <c r="C12" s="1" t="s">
        <v>21</v>
      </c>
      <c r="D12" s="2">
        <v>1980</v>
      </c>
      <c r="E12" s="2">
        <v>1188</v>
      </c>
      <c r="F12" s="2">
        <v>412</v>
      </c>
      <c r="G12" s="2">
        <f t="shared" si="0"/>
        <v>2756</v>
      </c>
    </row>
    <row r="13" spans="1:7" x14ac:dyDescent="0.45">
      <c r="A13" s="1" t="s">
        <v>24</v>
      </c>
      <c r="B13" s="1" t="s">
        <v>12</v>
      </c>
      <c r="C13" s="1" t="s">
        <v>21</v>
      </c>
      <c r="D13" s="2">
        <v>1890</v>
      </c>
      <c r="E13" s="2">
        <v>1134</v>
      </c>
      <c r="F13" s="2">
        <v>393</v>
      </c>
      <c r="G13" s="2">
        <f t="shared" si="0"/>
        <v>2631</v>
      </c>
    </row>
    <row r="16" spans="1:7" x14ac:dyDescent="0.45">
      <c r="A16" s="4" t="s">
        <v>1</v>
      </c>
      <c r="B16" t="s">
        <v>59</v>
      </c>
    </row>
    <row r="18" spans="1:7" x14ac:dyDescent="0.45">
      <c r="B18" s="4" t="s">
        <v>62</v>
      </c>
    </row>
    <row r="19" spans="1:7" x14ac:dyDescent="0.45">
      <c r="B19" t="s">
        <v>10</v>
      </c>
      <c r="D19" t="s">
        <v>16</v>
      </c>
      <c r="F19" t="s">
        <v>21</v>
      </c>
    </row>
    <row r="20" spans="1:7" x14ac:dyDescent="0.45">
      <c r="A20" s="4" t="s">
        <v>60</v>
      </c>
      <c r="B20" t="s">
        <v>63</v>
      </c>
      <c r="C20" t="s">
        <v>64</v>
      </c>
      <c r="D20" t="s">
        <v>63</v>
      </c>
      <c r="E20" t="s">
        <v>64</v>
      </c>
      <c r="F20" t="s">
        <v>63</v>
      </c>
      <c r="G20" t="s">
        <v>64</v>
      </c>
    </row>
    <row r="21" spans="1:7" x14ac:dyDescent="0.45">
      <c r="A21" s="5" t="s">
        <v>9</v>
      </c>
      <c r="B21" s="7">
        <v>1680</v>
      </c>
      <c r="C21" s="7">
        <v>3898</v>
      </c>
      <c r="D21" s="7">
        <v>1488</v>
      </c>
      <c r="E21" s="7">
        <v>3452</v>
      </c>
      <c r="F21" s="7">
        <v>1320</v>
      </c>
      <c r="G21" s="7">
        <v>3062</v>
      </c>
    </row>
    <row r="22" spans="1:7" x14ac:dyDescent="0.45">
      <c r="A22" s="5" t="s">
        <v>19</v>
      </c>
      <c r="B22" s="7" t="s">
        <v>65</v>
      </c>
      <c r="C22" s="7" t="s">
        <v>65</v>
      </c>
      <c r="D22" s="7">
        <v>1410</v>
      </c>
      <c r="E22" s="7">
        <v>3271</v>
      </c>
      <c r="F22" s="7">
        <v>1230</v>
      </c>
      <c r="G22" s="7">
        <v>2854</v>
      </c>
    </row>
    <row r="23" spans="1:7" x14ac:dyDescent="0.45">
      <c r="A23" s="5" t="s">
        <v>14</v>
      </c>
      <c r="B23" s="7">
        <v>1530</v>
      </c>
      <c r="C23" s="7">
        <v>3550</v>
      </c>
      <c r="D23" s="7" t="s">
        <v>65</v>
      </c>
      <c r="E23" s="7" t="s">
        <v>65</v>
      </c>
      <c r="F23" s="7">
        <v>1188</v>
      </c>
      <c r="G23" s="7">
        <v>2756</v>
      </c>
    </row>
    <row r="24" spans="1:7" x14ac:dyDescent="0.45">
      <c r="A24" s="5" t="s">
        <v>12</v>
      </c>
      <c r="B24" s="7">
        <v>1650</v>
      </c>
      <c r="C24" s="7">
        <v>3828</v>
      </c>
      <c r="D24" s="7">
        <v>1440</v>
      </c>
      <c r="E24" s="7">
        <v>3341</v>
      </c>
      <c r="F24" s="7">
        <v>1134</v>
      </c>
      <c r="G24" s="7">
        <v>2631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G25"/>
  <sheetViews>
    <sheetView workbookViewId="0">
      <selection sqref="A1:G1"/>
    </sheetView>
  </sheetViews>
  <sheetFormatPr defaultRowHeight="17" x14ac:dyDescent="0.45"/>
  <cols>
    <col min="1" max="1" width="14.5" bestFit="1" customWidth="1"/>
    <col min="2" max="2" width="11.4140625" bestFit="1" customWidth="1"/>
    <col min="3" max="4" width="6.83203125" bestFit="1" customWidth="1"/>
    <col min="7" max="7" width="9.33203125" bestFit="1" customWidth="1"/>
  </cols>
  <sheetData>
    <row r="1" spans="1:7" ht="21" x14ac:dyDescent="0.45">
      <c r="A1" s="9" t="s">
        <v>25</v>
      </c>
      <c r="B1" s="9"/>
      <c r="C1" s="9"/>
      <c r="D1" s="9"/>
      <c r="E1" s="9"/>
      <c r="F1" s="9"/>
      <c r="G1" s="9"/>
    </row>
    <row r="3" spans="1:7" x14ac:dyDescent="0.45">
      <c r="A3" s="1" t="s">
        <v>26</v>
      </c>
      <c r="B3" s="1" t="s">
        <v>27</v>
      </c>
      <c r="C3" s="1" t="s">
        <v>28</v>
      </c>
      <c r="D3" s="1" t="s">
        <v>29</v>
      </c>
      <c r="E3" s="1" t="s">
        <v>30</v>
      </c>
      <c r="F3" s="1" t="s">
        <v>31</v>
      </c>
      <c r="G3" s="1" t="s">
        <v>32</v>
      </c>
    </row>
    <row r="4" spans="1:7" x14ac:dyDescent="0.45">
      <c r="A4" s="3">
        <v>45295</v>
      </c>
      <c r="B4" s="1" t="s">
        <v>33</v>
      </c>
      <c r="C4" s="1" t="s">
        <v>34</v>
      </c>
      <c r="D4" s="1">
        <v>350</v>
      </c>
      <c r="E4" s="1">
        <v>170</v>
      </c>
      <c r="F4" s="1">
        <v>5</v>
      </c>
      <c r="G4" s="2">
        <f>(E4-F4)*D4</f>
        <v>57750</v>
      </c>
    </row>
    <row r="5" spans="1:7" x14ac:dyDescent="0.45">
      <c r="A5" s="3">
        <v>45305</v>
      </c>
      <c r="B5" s="1" t="s">
        <v>35</v>
      </c>
      <c r="C5" s="1" t="s">
        <v>36</v>
      </c>
      <c r="D5" s="1">
        <v>580</v>
      </c>
      <c r="E5" s="1">
        <v>278</v>
      </c>
      <c r="F5" s="1">
        <v>4</v>
      </c>
      <c r="G5" s="2">
        <f t="shared" ref="G5:G15" si="0">(E5-F5)*D5</f>
        <v>158920</v>
      </c>
    </row>
    <row r="6" spans="1:7" x14ac:dyDescent="0.45">
      <c r="A6" s="3">
        <v>45316</v>
      </c>
      <c r="B6" s="1" t="s">
        <v>33</v>
      </c>
      <c r="C6" s="1" t="s">
        <v>36</v>
      </c>
      <c r="D6" s="1">
        <v>350</v>
      </c>
      <c r="E6" s="1">
        <v>349</v>
      </c>
      <c r="F6" s="1">
        <v>1</v>
      </c>
      <c r="G6" s="2">
        <f t="shared" si="0"/>
        <v>121800</v>
      </c>
    </row>
    <row r="7" spans="1:7" x14ac:dyDescent="0.45">
      <c r="A7" s="3">
        <v>45321</v>
      </c>
      <c r="B7" s="1" t="s">
        <v>35</v>
      </c>
      <c r="C7" s="1" t="s">
        <v>34</v>
      </c>
      <c r="D7" s="1">
        <v>580</v>
      </c>
      <c r="E7" s="1">
        <v>321</v>
      </c>
      <c r="F7" s="1">
        <v>7</v>
      </c>
      <c r="G7" s="2">
        <f t="shared" si="0"/>
        <v>182120</v>
      </c>
    </row>
    <row r="8" spans="1:7" x14ac:dyDescent="0.45">
      <c r="A8" s="3">
        <v>45327</v>
      </c>
      <c r="B8" s="1" t="s">
        <v>33</v>
      </c>
      <c r="C8" s="1" t="s">
        <v>34</v>
      </c>
      <c r="D8" s="1">
        <v>350</v>
      </c>
      <c r="E8" s="1">
        <v>546</v>
      </c>
      <c r="F8" s="1">
        <v>8</v>
      </c>
      <c r="G8" s="2">
        <f t="shared" si="0"/>
        <v>188300</v>
      </c>
    </row>
    <row r="9" spans="1:7" x14ac:dyDescent="0.45">
      <c r="A9" s="3">
        <v>45337</v>
      </c>
      <c r="B9" s="1" t="s">
        <v>33</v>
      </c>
      <c r="C9" s="1" t="s">
        <v>36</v>
      </c>
      <c r="D9" s="1">
        <v>350</v>
      </c>
      <c r="E9" s="1">
        <v>246</v>
      </c>
      <c r="F9" s="1">
        <v>2</v>
      </c>
      <c r="G9" s="2">
        <f t="shared" si="0"/>
        <v>85400</v>
      </c>
    </row>
    <row r="10" spans="1:7" x14ac:dyDescent="0.45">
      <c r="A10" s="3">
        <v>45340</v>
      </c>
      <c r="B10" s="1" t="s">
        <v>35</v>
      </c>
      <c r="C10" s="1" t="s">
        <v>36</v>
      </c>
      <c r="D10" s="1">
        <v>580</v>
      </c>
      <c r="E10" s="1">
        <v>531</v>
      </c>
      <c r="F10" s="1">
        <v>5</v>
      </c>
      <c r="G10" s="2">
        <f t="shared" si="0"/>
        <v>305080</v>
      </c>
    </row>
    <row r="11" spans="1:7" x14ac:dyDescent="0.45">
      <c r="A11" s="3">
        <v>45345</v>
      </c>
      <c r="B11" s="1" t="s">
        <v>33</v>
      </c>
      <c r="C11" s="1" t="s">
        <v>36</v>
      </c>
      <c r="D11" s="1">
        <v>350</v>
      </c>
      <c r="E11" s="1">
        <v>521</v>
      </c>
      <c r="F11" s="1">
        <v>3</v>
      </c>
      <c r="G11" s="2">
        <f t="shared" si="0"/>
        <v>181300</v>
      </c>
    </row>
    <row r="12" spans="1:7" x14ac:dyDescent="0.45">
      <c r="A12" s="3">
        <v>45353</v>
      </c>
      <c r="B12" s="1" t="s">
        <v>33</v>
      </c>
      <c r="C12" s="1" t="s">
        <v>34</v>
      </c>
      <c r="D12" s="1">
        <v>350</v>
      </c>
      <c r="E12" s="1">
        <v>321</v>
      </c>
      <c r="F12" s="1">
        <v>7</v>
      </c>
      <c r="G12" s="2">
        <f t="shared" si="0"/>
        <v>109900</v>
      </c>
    </row>
    <row r="13" spans="1:7" x14ac:dyDescent="0.45">
      <c r="A13" s="3">
        <v>45362</v>
      </c>
      <c r="B13" s="1" t="s">
        <v>35</v>
      </c>
      <c r="C13" s="1" t="s">
        <v>34</v>
      </c>
      <c r="D13" s="1">
        <v>580</v>
      </c>
      <c r="E13" s="1">
        <v>279</v>
      </c>
      <c r="F13" s="1">
        <v>5</v>
      </c>
      <c r="G13" s="2">
        <f t="shared" si="0"/>
        <v>158920</v>
      </c>
    </row>
    <row r="14" spans="1:7" x14ac:dyDescent="0.45">
      <c r="A14" s="3">
        <v>45364</v>
      </c>
      <c r="B14" s="1" t="s">
        <v>33</v>
      </c>
      <c r="C14" s="1" t="s">
        <v>34</v>
      </c>
      <c r="D14" s="1">
        <v>580</v>
      </c>
      <c r="E14" s="1">
        <v>391</v>
      </c>
      <c r="F14" s="1">
        <v>3</v>
      </c>
      <c r="G14" s="2">
        <f t="shared" si="0"/>
        <v>225040</v>
      </c>
    </row>
    <row r="15" spans="1:7" x14ac:dyDescent="0.45">
      <c r="A15" s="3">
        <v>45374</v>
      </c>
      <c r="B15" s="1" t="s">
        <v>35</v>
      </c>
      <c r="C15" s="1" t="s">
        <v>36</v>
      </c>
      <c r="D15" s="1">
        <v>580</v>
      </c>
      <c r="E15" s="1">
        <v>372</v>
      </c>
      <c r="F15" s="1">
        <v>2</v>
      </c>
      <c r="G15" s="2">
        <f t="shared" si="0"/>
        <v>214600</v>
      </c>
    </row>
    <row r="19" spans="1:4" x14ac:dyDescent="0.45">
      <c r="A19" s="4" t="s">
        <v>27</v>
      </c>
      <c r="B19" t="s">
        <v>59</v>
      </c>
    </row>
    <row r="21" spans="1:4" x14ac:dyDescent="0.45">
      <c r="A21" s="4" t="s">
        <v>66</v>
      </c>
      <c r="B21" s="4" t="s">
        <v>62</v>
      </c>
    </row>
    <row r="22" spans="1:4" x14ac:dyDescent="0.45">
      <c r="A22" s="4" t="s">
        <v>60</v>
      </c>
      <c r="B22" t="s">
        <v>36</v>
      </c>
      <c r="C22" t="s">
        <v>34</v>
      </c>
      <c r="D22" t="s">
        <v>61</v>
      </c>
    </row>
    <row r="23" spans="1:4" x14ac:dyDescent="0.45">
      <c r="A23" s="8" t="s">
        <v>67</v>
      </c>
      <c r="B23" s="6">
        <v>627</v>
      </c>
      <c r="C23" s="6">
        <v>491</v>
      </c>
      <c r="D23" s="6">
        <v>1118</v>
      </c>
    </row>
    <row r="24" spans="1:4" x14ac:dyDescent="0.45">
      <c r="A24" s="8" t="s">
        <v>68</v>
      </c>
      <c r="B24" s="6">
        <v>1298</v>
      </c>
      <c r="C24" s="6">
        <v>546</v>
      </c>
      <c r="D24" s="6">
        <v>1844</v>
      </c>
    </row>
    <row r="25" spans="1:4" x14ac:dyDescent="0.45">
      <c r="A25" s="8" t="s">
        <v>69</v>
      </c>
      <c r="B25" s="6">
        <v>372</v>
      </c>
      <c r="C25" s="6">
        <v>991</v>
      </c>
      <c r="D25" s="6">
        <v>1363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G25"/>
  <sheetViews>
    <sheetView workbookViewId="0">
      <selection sqref="A1:G1"/>
    </sheetView>
  </sheetViews>
  <sheetFormatPr defaultRowHeight="17" x14ac:dyDescent="0.45"/>
  <cols>
    <col min="1" max="1" width="19.1640625" bestFit="1" customWidth="1"/>
    <col min="2" max="2" width="14.25" bestFit="1" customWidth="1"/>
    <col min="3" max="5" width="10.75" bestFit="1" customWidth="1"/>
    <col min="6" max="6" width="6.83203125" bestFit="1" customWidth="1"/>
    <col min="7" max="7" width="14.5" bestFit="1" customWidth="1"/>
    <col min="8" max="9" width="19.1640625" bestFit="1" customWidth="1"/>
  </cols>
  <sheetData>
    <row r="1" spans="1:7" ht="21" x14ac:dyDescent="0.45">
      <c r="A1" s="9" t="s">
        <v>37</v>
      </c>
      <c r="B1" s="9"/>
      <c r="C1" s="9"/>
      <c r="D1" s="9"/>
      <c r="E1" s="9"/>
      <c r="F1" s="9"/>
      <c r="G1" s="9"/>
    </row>
    <row r="3" spans="1:7" x14ac:dyDescent="0.45">
      <c r="A3" s="1" t="s">
        <v>38</v>
      </c>
      <c r="B3" s="1" t="s">
        <v>39</v>
      </c>
      <c r="C3" s="1" t="s">
        <v>40</v>
      </c>
      <c r="D3" s="1" t="s">
        <v>41</v>
      </c>
      <c r="E3" s="1" t="s">
        <v>42</v>
      </c>
      <c r="F3" s="1" t="s">
        <v>43</v>
      </c>
      <c r="G3" s="1" t="s">
        <v>44</v>
      </c>
    </row>
    <row r="4" spans="1:7" x14ac:dyDescent="0.45">
      <c r="A4" s="1" t="s">
        <v>45</v>
      </c>
      <c r="B4" s="1" t="s">
        <v>46</v>
      </c>
      <c r="C4" s="1" t="s">
        <v>47</v>
      </c>
      <c r="D4" s="1">
        <v>20</v>
      </c>
      <c r="E4" s="1">
        <v>7</v>
      </c>
      <c r="F4" s="1">
        <v>70</v>
      </c>
      <c r="G4" s="1">
        <f>SUM(D4:F4)</f>
        <v>97</v>
      </c>
    </row>
    <row r="5" spans="1:7" x14ac:dyDescent="0.45">
      <c r="A5" s="1" t="s">
        <v>48</v>
      </c>
      <c r="B5" s="1" t="s">
        <v>49</v>
      </c>
      <c r="C5" s="1" t="s">
        <v>50</v>
      </c>
      <c r="D5" s="1">
        <v>4</v>
      </c>
      <c r="E5" s="1">
        <v>1</v>
      </c>
      <c r="F5" s="1">
        <v>80</v>
      </c>
      <c r="G5" s="1">
        <f t="shared" ref="G5:G11" si="0">SUM(D5:F5)</f>
        <v>85</v>
      </c>
    </row>
    <row r="6" spans="1:7" x14ac:dyDescent="0.45">
      <c r="A6" s="1" t="s">
        <v>51</v>
      </c>
      <c r="B6" s="1" t="s">
        <v>52</v>
      </c>
      <c r="C6" s="1" t="s">
        <v>53</v>
      </c>
      <c r="D6" s="1">
        <v>2</v>
      </c>
      <c r="E6" s="1">
        <v>1</v>
      </c>
      <c r="F6" s="1">
        <v>75</v>
      </c>
      <c r="G6" s="1">
        <f t="shared" si="0"/>
        <v>78</v>
      </c>
    </row>
    <row r="7" spans="1:7" x14ac:dyDescent="0.45">
      <c r="A7" s="1" t="s">
        <v>51</v>
      </c>
      <c r="B7" s="1" t="s">
        <v>54</v>
      </c>
      <c r="C7" s="1" t="s">
        <v>47</v>
      </c>
      <c r="D7" s="1">
        <v>10</v>
      </c>
      <c r="E7" s="1">
        <v>5</v>
      </c>
      <c r="F7" s="1">
        <v>74</v>
      </c>
      <c r="G7" s="1">
        <f t="shared" si="0"/>
        <v>89</v>
      </c>
    </row>
    <row r="8" spans="1:7" x14ac:dyDescent="0.45">
      <c r="A8" s="1" t="s">
        <v>48</v>
      </c>
      <c r="B8" s="1" t="s">
        <v>55</v>
      </c>
      <c r="C8" s="1" t="s">
        <v>50</v>
      </c>
      <c r="D8" s="1">
        <v>23</v>
      </c>
      <c r="E8" s="1">
        <v>7</v>
      </c>
      <c r="F8" s="1">
        <v>60</v>
      </c>
      <c r="G8" s="1">
        <f t="shared" si="0"/>
        <v>90</v>
      </c>
    </row>
    <row r="9" spans="1:7" x14ac:dyDescent="0.45">
      <c r="A9" s="1" t="s">
        <v>51</v>
      </c>
      <c r="B9" s="1" t="s">
        <v>56</v>
      </c>
      <c r="C9" s="1" t="s">
        <v>50</v>
      </c>
      <c r="D9" s="1">
        <v>25</v>
      </c>
      <c r="E9" s="1">
        <v>7</v>
      </c>
      <c r="F9" s="1">
        <v>59</v>
      </c>
      <c r="G9" s="1">
        <f t="shared" si="0"/>
        <v>91</v>
      </c>
    </row>
    <row r="10" spans="1:7" x14ac:dyDescent="0.45">
      <c r="A10" s="1" t="s">
        <v>45</v>
      </c>
      <c r="B10" s="1" t="s">
        <v>57</v>
      </c>
      <c r="C10" s="1" t="s">
        <v>53</v>
      </c>
      <c r="D10" s="1">
        <v>8</v>
      </c>
      <c r="E10" s="1">
        <v>3</v>
      </c>
      <c r="F10" s="1">
        <v>64</v>
      </c>
      <c r="G10" s="1">
        <f t="shared" si="0"/>
        <v>75</v>
      </c>
    </row>
    <row r="11" spans="1:7" x14ac:dyDescent="0.45">
      <c r="A11" s="1" t="s">
        <v>48</v>
      </c>
      <c r="B11" s="1" t="s">
        <v>58</v>
      </c>
      <c r="C11" s="1" t="s">
        <v>47</v>
      </c>
      <c r="D11" s="1">
        <v>9</v>
      </c>
      <c r="E11" s="1">
        <v>3</v>
      </c>
      <c r="F11" s="1">
        <v>78</v>
      </c>
      <c r="G11" s="1">
        <f t="shared" si="0"/>
        <v>90</v>
      </c>
    </row>
    <row r="14" spans="1:7" x14ac:dyDescent="0.45">
      <c r="A14" s="4" t="s">
        <v>39</v>
      </c>
      <c r="B14" t="s">
        <v>59</v>
      </c>
    </row>
    <row r="16" spans="1:7" x14ac:dyDescent="0.45">
      <c r="C16" s="4" t="s">
        <v>40</v>
      </c>
    </row>
    <row r="17" spans="1:6" x14ac:dyDescent="0.45">
      <c r="A17" s="4" t="s">
        <v>38</v>
      </c>
      <c r="B17" s="4" t="s">
        <v>74</v>
      </c>
      <c r="C17" t="s">
        <v>53</v>
      </c>
      <c r="D17" t="s">
        <v>47</v>
      </c>
      <c r="E17" t="s">
        <v>50</v>
      </c>
      <c r="F17" t="s">
        <v>61</v>
      </c>
    </row>
    <row r="18" spans="1:6" x14ac:dyDescent="0.45">
      <c r="A18" t="s">
        <v>45</v>
      </c>
      <c r="C18" s="6"/>
      <c r="D18" s="6"/>
      <c r="E18" s="6"/>
      <c r="F18" s="6"/>
    </row>
    <row r="19" spans="1:6" x14ac:dyDescent="0.45">
      <c r="B19" t="s">
        <v>70</v>
      </c>
      <c r="C19" s="6">
        <v>8</v>
      </c>
      <c r="D19" s="6">
        <v>20</v>
      </c>
      <c r="E19" s="6"/>
      <c r="F19" s="6">
        <v>20</v>
      </c>
    </row>
    <row r="20" spans="1:6" x14ac:dyDescent="0.45">
      <c r="B20" t="s">
        <v>72</v>
      </c>
      <c r="C20" s="6">
        <v>3</v>
      </c>
      <c r="D20" s="6">
        <v>7</v>
      </c>
      <c r="E20" s="6"/>
      <c r="F20" s="6">
        <v>3</v>
      </c>
    </row>
    <row r="21" spans="1:6" x14ac:dyDescent="0.45">
      <c r="A21" t="s">
        <v>48</v>
      </c>
      <c r="C21" s="6"/>
      <c r="D21" s="6"/>
      <c r="E21" s="6"/>
      <c r="F21" s="6"/>
    </row>
    <row r="22" spans="1:6" x14ac:dyDescent="0.45">
      <c r="B22" t="s">
        <v>70</v>
      </c>
      <c r="C22" s="6"/>
      <c r="D22" s="6">
        <v>9</v>
      </c>
      <c r="E22" s="6">
        <v>23</v>
      </c>
      <c r="F22" s="6">
        <v>23</v>
      </c>
    </row>
    <row r="23" spans="1:6" x14ac:dyDescent="0.45">
      <c r="B23" t="s">
        <v>72</v>
      </c>
      <c r="C23" s="6"/>
      <c r="D23" s="6">
        <v>3</v>
      </c>
      <c r="E23" s="6">
        <v>1</v>
      </c>
      <c r="F23" s="6">
        <v>1</v>
      </c>
    </row>
    <row r="24" spans="1:6" x14ac:dyDescent="0.45">
      <c r="A24" t="s">
        <v>71</v>
      </c>
      <c r="C24" s="6">
        <v>8</v>
      </c>
      <c r="D24" s="6">
        <v>20</v>
      </c>
      <c r="E24" s="6">
        <v>23</v>
      </c>
      <c r="F24" s="6">
        <v>23</v>
      </c>
    </row>
    <row r="25" spans="1:6" x14ac:dyDescent="0.45">
      <c r="A25" t="s">
        <v>73</v>
      </c>
      <c r="C25" s="6">
        <v>3</v>
      </c>
      <c r="D25" s="6">
        <v>3</v>
      </c>
      <c r="E25" s="6">
        <v>1</v>
      </c>
      <c r="F25" s="6">
        <v>1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2024-07-16T06:13:10Z</dcterms:modified>
</cp:coreProperties>
</file>