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189B0A35-55A2-48E2-AB37-E504830AA476}" xr6:coauthVersionLast="47" xr6:coauthVersionMax="47" xr10:uidLastSave="{00000000-0000-0000-0000-000000000000}"/>
  <bookViews>
    <workbookView xWindow="0" yWindow="0" windowWidth="19200" windowHeight="21140" xr2:uid="{EE757160-5024-4120-A609-A74D9106D7A4}"/>
  </bookViews>
  <sheets>
    <sheet name="무작정따라하기" sheetId="6" r:id="rId1"/>
    <sheet name="무작정따라하기2" sheetId="7" r:id="rId2"/>
    <sheet name="기출01" sheetId="4" r:id="rId3"/>
    <sheet name="기출02" sheetId="5" r:id="rId4"/>
  </sheets>
  <definedNames>
    <definedName name="_xlnm._FilterDatabase" localSheetId="2" hidden="1">기출01!$A$3:$E$12</definedName>
    <definedName name="_xlnm._FilterDatabase" localSheetId="3" hidden="1">기출02!$A$3:$G$13</definedName>
    <definedName name="_xlnm._FilterDatabase" localSheetId="0" hidden="1">무작정따라하기!$A$3:$H$13</definedName>
    <definedName name="_xlnm._FilterDatabase" localSheetId="1" hidden="1">무작정따라하기2!$A$3:$H$13</definedName>
    <definedName name="_xlnm.Criteria" localSheetId="2">기출01!$A$14:$C$16</definedName>
    <definedName name="_xlnm.Criteria" localSheetId="3">기출02!$A$15:$A$16</definedName>
    <definedName name="_xlnm.Criteria" localSheetId="1">무작정따라하기2!$A$15:$B$16</definedName>
    <definedName name="_xlnm.Extract" localSheetId="2">기출01!$A$18:$D$18</definedName>
    <definedName name="_xlnm.Extract" localSheetId="3">기출02!$A$19:$G$19</definedName>
    <definedName name="_xlnm.Extract" localSheetId="1">무작정따라하기2!$A$20:$H$20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5" l="1"/>
  <c r="G13" i="7" l="1"/>
  <c r="H13" i="7" s="1"/>
  <c r="F13" i="7"/>
  <c r="G12" i="7"/>
  <c r="F12" i="7"/>
  <c r="H12" i="7" s="1"/>
  <c r="G11" i="7"/>
  <c r="F11" i="7"/>
  <c r="H11" i="7" s="1"/>
  <c r="H10" i="7"/>
  <c r="G10" i="7"/>
  <c r="F10" i="7"/>
  <c r="G9" i="7"/>
  <c r="F9" i="7"/>
  <c r="H9" i="7" s="1"/>
  <c r="G8" i="7"/>
  <c r="F8" i="7"/>
  <c r="H8" i="7" s="1"/>
  <c r="G7" i="7"/>
  <c r="F7" i="7"/>
  <c r="H7" i="7" s="1"/>
  <c r="G6" i="7"/>
  <c r="F6" i="7"/>
  <c r="H6" i="7" s="1"/>
  <c r="G5" i="7"/>
  <c r="H5" i="7" s="1"/>
  <c r="F5" i="7"/>
  <c r="G4" i="7"/>
  <c r="F4" i="7"/>
  <c r="H4" i="7" s="1"/>
  <c r="F5" i="6" l="1"/>
  <c r="G5" i="6"/>
  <c r="F6" i="6"/>
  <c r="G6" i="6"/>
  <c r="H6" i="6" s="1"/>
  <c r="F7" i="6"/>
  <c r="G7" i="6"/>
  <c r="H7" i="6"/>
  <c r="F8" i="6"/>
  <c r="G8" i="6"/>
  <c r="F9" i="6"/>
  <c r="H9" i="6" s="1"/>
  <c r="G9" i="6"/>
  <c r="F10" i="6"/>
  <c r="G10" i="6"/>
  <c r="F11" i="6"/>
  <c r="G11" i="6"/>
  <c r="F12" i="6"/>
  <c r="G12" i="6"/>
  <c r="F13" i="6"/>
  <c r="G13" i="6"/>
  <c r="G4" i="6"/>
  <c r="F4" i="6"/>
  <c r="H5" i="6" l="1"/>
  <c r="H4" i="6"/>
  <c r="H12" i="6"/>
  <c r="H11" i="6"/>
  <c r="H8" i="6"/>
  <c r="H13" i="6"/>
  <c r="H10" i="6"/>
</calcChain>
</file>

<file path=xl/sharedStrings.xml><?xml version="1.0" encoding="utf-8"?>
<sst xmlns="http://schemas.openxmlformats.org/spreadsheetml/2006/main" count="181" uniqueCount="81">
  <si>
    <t>퇴직금 정산 내역</t>
    <phoneticPr fontId="1" type="noConversion"/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</si>
  <si>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</si>
  <si>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</si>
  <si>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</si>
  <si>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</si>
  <si>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</si>
  <si>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</si>
  <si>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</si>
  <si>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</si>
  <si>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김민서</t>
  </si>
  <si>
    <t>회계부</t>
  </si>
  <si>
    <t>부장</t>
  </si>
  <si>
    <t>박해수</t>
  </si>
  <si>
    <t>과장</t>
  </si>
  <si>
    <t>최경민</t>
  </si>
  <si>
    <t>인사부</t>
  </si>
  <si>
    <t>이가영</t>
  </si>
  <si>
    <t>영업부</t>
  </si>
  <si>
    <t>차장</t>
  </si>
  <si>
    <t>강호정</t>
  </si>
  <si>
    <t>대리</t>
  </si>
  <si>
    <t>황경엽</t>
  </si>
  <si>
    <t>윤소정</t>
  </si>
  <si>
    <t>조경원</t>
  </si>
  <si>
    <t>황진주</t>
  </si>
  <si>
    <t>유병문</t>
  </si>
  <si>
    <t>제품 생산 현황</t>
    <phoneticPr fontId="1" type="noConversion"/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</si>
  <si>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</si>
  <si>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</si>
  <si>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</si>
  <si>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</si>
  <si>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</si>
  <si>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</si>
  <si>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</si>
  <si>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</si>
  <si>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</si>
  <si>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</si>
  <si>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</si>
  <si>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</si>
  <si>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CE-20</t>
  </si>
  <si>
    <t>CE-30</t>
  </si>
  <si>
    <t>AM-33</t>
  </si>
  <si>
    <t>고객포인트 관리</t>
    <phoneticPr fontId="1" type="noConversion"/>
  </si>
  <si>
    <t>고객번호</t>
  </si>
  <si>
    <t>이름</t>
  </si>
  <si>
    <t>생년월일</t>
  </si>
  <si>
    <t>구매실적</t>
  </si>
  <si>
    <t>거래회수</t>
  </si>
  <si>
    <t>구매포인트</t>
  </si>
  <si>
    <t>설문포인트</t>
  </si>
  <si>
    <t>오규남</t>
  </si>
  <si>
    <t>B90120</t>
  </si>
  <si>
    <t>김종숙</t>
  </si>
  <si>
    <t>A93055</t>
  </si>
  <si>
    <t>이미현</t>
  </si>
  <si>
    <t>C92050</t>
  </si>
  <si>
    <t>한수진</t>
  </si>
  <si>
    <t>B96255</t>
  </si>
  <si>
    <t>김정준</t>
  </si>
  <si>
    <t>B99130</t>
  </si>
  <si>
    <t>이진녀</t>
  </si>
  <si>
    <t>C98030</t>
  </si>
  <si>
    <t>노미경</t>
  </si>
  <si>
    <t>A88001</t>
  </si>
  <si>
    <t>최대건</t>
  </si>
  <si>
    <t>A95010</t>
  </si>
  <si>
    <t>서기운</t>
  </si>
  <si>
    <t>B91038</t>
  </si>
  <si>
    <t>김청욱</t>
  </si>
  <si>
    <t>C94023</t>
    <phoneticPr fontId="1" type="noConversion"/>
  </si>
  <si>
    <t>근속기간</t>
    <phoneticPr fontId="1" type="noConversion"/>
  </si>
  <si>
    <t>&gt;=15</t>
    <phoneticPr fontId="1" type="noConversion"/>
  </si>
  <si>
    <t>퇴직금</t>
    <phoneticPr fontId="1" type="noConversion"/>
  </si>
  <si>
    <t>&lt;=50000</t>
    <phoneticPr fontId="1" type="noConversion"/>
  </si>
  <si>
    <t>생산부서</t>
    <phoneticPr fontId="1" type="noConversion"/>
  </si>
  <si>
    <t>생산2부</t>
    <phoneticPr fontId="1" type="noConversion"/>
  </si>
  <si>
    <t>생산량</t>
    <phoneticPr fontId="1" type="noConversion"/>
  </si>
  <si>
    <t>&gt;=900</t>
    <phoneticPr fontId="1" type="noConversion"/>
  </si>
  <si>
    <t>&lt;=1500</t>
    <phoneticPr fontId="1" type="noConversion"/>
  </si>
  <si>
    <t>월</t>
    <phoneticPr fontId="1" type="noConversion"/>
  </si>
  <si>
    <t>제품코드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</si>
</sst>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sheetPr filterMode="1"/>
  <dimension ref="A1:H13"/>
  <sheetViews>
    <sheetView tabSelected="1" workbookViewId="0">
      <selection sqref="A1:H1"/>
    </sheetView>
  </sheetViews>
  <sheetFormatPr defaultRowHeight="17" x14ac:dyDescent="0.45"/>
  <sheetData>
    <row r="1" spans="1:8" ht="21" x14ac:dyDescent="0.45">
      <c r="A1" s="7" t="s">
        <v>0</v>
      </c>
      <c r="B1" s="7"/>
      <c r="C1" s="7"/>
      <c r="D1" s="7"/>
      <c r="E1" s="7"/>
      <c r="F1" s="7"/>
      <c r="G1" s="7"/>
      <c r="H1" s="7"/>
    </row>
    <row r="3" spans="1:8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</row>
    <row r="4" spans="1:8" hidden="1" x14ac:dyDescent="0.45">
      <c r="A4" s="1" t="s">
        <v>9</v>
      </c>
      <c r="B4" s="1" t="s">
        <v>10</v>
      </c>
      <c r="C4" s="1" t="s">
        <v>11</v>
      </c>
      <c r="D4" s="1">
        <v>25</v>
      </c>
      <c r="E4" s="2">
        <v>2800</v>
      </c>
      <c r="F4" s="2">
        <f>E4*400%</f>
        <v>11200</v>
      </c>
      <c r="G4" s="2">
        <f>IF(D4&gt;=30, E4*10%, IF(D4&gt;=20, E4*5%, E4*2%))</f>
        <v>140</v>
      </c>
      <c r="H4" s="2">
        <f>D4*E4+F4+G4</f>
        <v>81340</v>
      </c>
    </row>
    <row r="5" spans="1:8" hidden="1" x14ac:dyDescent="0.45">
      <c r="A5" s="1" t="s">
        <v>12</v>
      </c>
      <c r="B5" s="1" t="s">
        <v>10</v>
      </c>
      <c r="C5" s="1" t="s">
        <v>13</v>
      </c>
      <c r="D5" s="1">
        <v>12</v>
      </c>
      <c r="E5" s="2">
        <v>2000</v>
      </c>
      <c r="F5" s="2">
        <f t="shared" ref="F5:F13" si="0">E5*400%</f>
        <v>8000</v>
      </c>
      <c r="G5" s="2">
        <f t="shared" ref="G5:G13" si="1">IF(D5&gt;=30, E5*10%, IF(D5&gt;=20, E5*5%, E5*2%))</f>
        <v>40</v>
      </c>
      <c r="H5" s="2">
        <f t="shared" ref="H5:H13" si="2">D5*E5+F5+G5</f>
        <v>32040</v>
      </c>
    </row>
    <row r="6" spans="1:8" hidden="1" x14ac:dyDescent="0.45">
      <c r="A6" s="1" t="s">
        <v>14</v>
      </c>
      <c r="B6" s="1" t="s">
        <v>15</v>
      </c>
      <c r="C6" s="1" t="s">
        <v>11</v>
      </c>
      <c r="D6" s="1">
        <v>21</v>
      </c>
      <c r="E6" s="2">
        <v>2800</v>
      </c>
      <c r="F6" s="2">
        <f t="shared" si="0"/>
        <v>11200</v>
      </c>
      <c r="G6" s="2">
        <f t="shared" si="1"/>
        <v>140</v>
      </c>
      <c r="H6" s="2">
        <f t="shared" si="2"/>
        <v>70140</v>
      </c>
    </row>
    <row r="7" spans="1:8" hidden="1" x14ac:dyDescent="0.45">
      <c r="A7" s="1" t="s">
        <v>16</v>
      </c>
      <c r="B7" s="1" t="s">
        <v>17</v>
      </c>
      <c r="C7" s="1" t="s">
        <v>18</v>
      </c>
      <c r="D7" s="1">
        <v>25</v>
      </c>
      <c r="E7" s="2">
        <v>2500</v>
      </c>
      <c r="F7" s="2">
        <f t="shared" si="0"/>
        <v>10000</v>
      </c>
      <c r="G7" s="2">
        <f t="shared" si="1"/>
        <v>125</v>
      </c>
      <c r="H7" s="2">
        <f t="shared" si="2"/>
        <v>72625</v>
      </c>
    </row>
    <row r="8" spans="1:8" hidden="1" x14ac:dyDescent="0.45">
      <c r="A8" s="1" t="s">
        <v>19</v>
      </c>
      <c r="B8" s="1" t="s">
        <v>17</v>
      </c>
      <c r="C8" s="1" t="s">
        <v>20</v>
      </c>
      <c r="D8" s="1">
        <v>9</v>
      </c>
      <c r="E8" s="2">
        <v>1800</v>
      </c>
      <c r="F8" s="2">
        <f t="shared" si="0"/>
        <v>7200</v>
      </c>
      <c r="G8" s="2">
        <f t="shared" si="1"/>
        <v>36</v>
      </c>
      <c r="H8" s="2">
        <f t="shared" si="2"/>
        <v>23436</v>
      </c>
    </row>
    <row r="9" spans="1:8" x14ac:dyDescent="0.45">
      <c r="A9" s="1" t="s">
        <v>21</v>
      </c>
      <c r="B9" s="1" t="s">
        <v>10</v>
      </c>
      <c r="C9" s="1" t="s">
        <v>13</v>
      </c>
      <c r="D9" s="1">
        <v>18</v>
      </c>
      <c r="E9" s="2">
        <v>2000</v>
      </c>
      <c r="F9" s="2">
        <f t="shared" si="0"/>
        <v>8000</v>
      </c>
      <c r="G9" s="2">
        <f t="shared" si="1"/>
        <v>40</v>
      </c>
      <c r="H9" s="2">
        <f t="shared" si="2"/>
        <v>44040</v>
      </c>
    </row>
    <row r="10" spans="1:8" hidden="1" x14ac:dyDescent="0.45">
      <c r="A10" s="1" t="s">
        <v>22</v>
      </c>
      <c r="B10" s="1" t="s">
        <v>10</v>
      </c>
      <c r="C10" s="1" t="s">
        <v>18</v>
      </c>
      <c r="D10" s="1">
        <v>22</v>
      </c>
      <c r="E10" s="2">
        <v>2500</v>
      </c>
      <c r="F10" s="2">
        <f t="shared" si="0"/>
        <v>10000</v>
      </c>
      <c r="G10" s="2">
        <f t="shared" si="1"/>
        <v>125</v>
      </c>
      <c r="H10" s="2">
        <f t="shared" si="2"/>
        <v>65125</v>
      </c>
    </row>
    <row r="11" spans="1:8" hidden="1" x14ac:dyDescent="0.45">
      <c r="A11" s="1" t="s">
        <v>23</v>
      </c>
      <c r="B11" s="1" t="s">
        <v>15</v>
      </c>
      <c r="C11" s="1" t="s">
        <v>20</v>
      </c>
      <c r="D11" s="1">
        <v>14</v>
      </c>
      <c r="E11" s="2">
        <v>1800</v>
      </c>
      <c r="F11" s="2">
        <f t="shared" si="0"/>
        <v>7200</v>
      </c>
      <c r="G11" s="2">
        <f t="shared" si="1"/>
        <v>36</v>
      </c>
      <c r="H11" s="2">
        <f t="shared" si="2"/>
        <v>32436</v>
      </c>
    </row>
    <row r="12" spans="1:8" hidden="1" x14ac:dyDescent="0.45">
      <c r="A12" s="1" t="s">
        <v>24</v>
      </c>
      <c r="B12" s="1" t="s">
        <v>10</v>
      </c>
      <c r="C12" s="1" t="s">
        <v>20</v>
      </c>
      <c r="D12" s="1">
        <v>7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19836</v>
      </c>
    </row>
    <row r="13" spans="1:8" hidden="1" x14ac:dyDescent="0.45">
      <c r="A13" s="1" t="s">
        <v>25</v>
      </c>
      <c r="B13" s="1" t="s">
        <v>17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</sheetData>
  <autoFilter ref="A3:H13" xr:uid="{13D75635-73E3-48CC-A49C-1A5397EFBF84}">
    <filterColumn colId="3">
      <customFilters>
        <customFilter operator="greaterThanOrEqual" val="15"/>
      </customFilters>
    </filterColumn>
    <filterColumn colId="7">
      <customFilters>
        <customFilter operator="lessThanOrEqual" val="50000"/>
      </customFilters>
    </filterColumn>
  </autoFilter>
  <mergeCells count="1">
    <mergeCell ref="A1:H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D8119-3BBA-4ECF-A9B5-13AF72AEEA35}">
  <dimension ref="A1:H21"/>
  <sheetViews>
    <sheetView workbookViewId="0">
      <selection sqref="A1:H1"/>
    </sheetView>
  </sheetViews>
  <sheetFormatPr defaultRowHeight="17" x14ac:dyDescent="0.45"/>
  <sheetData>
    <row r="1" spans="1:8" ht="21" x14ac:dyDescent="0.45">
      <c r="A1" s="7" t="s">
        <v>0</v>
      </c>
      <c r="B1" s="7"/>
      <c r="C1" s="7"/>
      <c r="D1" s="7"/>
      <c r="E1" s="7"/>
      <c r="F1" s="7"/>
      <c r="G1" s="7"/>
      <c r="H1" s="7"/>
    </row>
    <row r="3" spans="1:8" x14ac:dyDescent="0.4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7</v>
      </c>
      <c r="H3" s="3" t="s">
        <v>8</v>
      </c>
    </row>
    <row r="4" spans="1:8" x14ac:dyDescent="0.45">
      <c r="A4" s="1" t="s">
        <v>9</v>
      </c>
      <c r="B4" s="1" t="s">
        <v>10</v>
      </c>
      <c r="C4" s="1" t="s">
        <v>11</v>
      </c>
      <c r="D4" s="1">
        <v>25</v>
      </c>
      <c r="E4" s="2">
        <v>2800</v>
      </c>
      <c r="F4" s="2">
        <f>E4*400%</f>
        <v>11200</v>
      </c>
      <c r="G4" s="2">
        <f>IF(D4&gt;=30, E4*10%, IF(D4&gt;=20, E4*5%, E4*2%))</f>
        <v>140</v>
      </c>
      <c r="H4" s="2">
        <f>D4*E4+F4+G4</f>
        <v>81340</v>
      </c>
    </row>
    <row r="5" spans="1:8" x14ac:dyDescent="0.45">
      <c r="A5" s="1" t="s">
        <v>12</v>
      </c>
      <c r="B5" s="1" t="s">
        <v>10</v>
      </c>
      <c r="C5" s="1" t="s">
        <v>13</v>
      </c>
      <c r="D5" s="1">
        <v>12</v>
      </c>
      <c r="E5" s="2">
        <v>2000</v>
      </c>
      <c r="F5" s="2">
        <f t="shared" ref="F5:F13" si="0">E5*400%</f>
        <v>8000</v>
      </c>
      <c r="G5" s="2">
        <f t="shared" ref="G5:G13" si="1">IF(D5&gt;=30, E5*10%, IF(D5&gt;=20, E5*5%, E5*2%))</f>
        <v>40</v>
      </c>
      <c r="H5" s="2">
        <f t="shared" ref="H5:H13" si="2">D5*E5+F5+G5</f>
        <v>32040</v>
      </c>
    </row>
    <row r="6" spans="1:8" x14ac:dyDescent="0.45">
      <c r="A6" s="1" t="s">
        <v>14</v>
      </c>
      <c r="B6" s="1" t="s">
        <v>15</v>
      </c>
      <c r="C6" s="1" t="s">
        <v>11</v>
      </c>
      <c r="D6" s="1">
        <v>21</v>
      </c>
      <c r="E6" s="2">
        <v>2800</v>
      </c>
      <c r="F6" s="2">
        <f t="shared" si="0"/>
        <v>11200</v>
      </c>
      <c r="G6" s="2">
        <f t="shared" si="1"/>
        <v>140</v>
      </c>
      <c r="H6" s="2">
        <f t="shared" si="2"/>
        <v>70140</v>
      </c>
    </row>
    <row r="7" spans="1:8" x14ac:dyDescent="0.45">
      <c r="A7" s="1" t="s">
        <v>16</v>
      </c>
      <c r="B7" s="1" t="s">
        <v>17</v>
      </c>
      <c r="C7" s="1" t="s">
        <v>18</v>
      </c>
      <c r="D7" s="1">
        <v>25</v>
      </c>
      <c r="E7" s="2">
        <v>2500</v>
      </c>
      <c r="F7" s="2">
        <f t="shared" si="0"/>
        <v>10000</v>
      </c>
      <c r="G7" s="2">
        <f t="shared" si="1"/>
        <v>125</v>
      </c>
      <c r="H7" s="2">
        <f t="shared" si="2"/>
        <v>72625</v>
      </c>
    </row>
    <row r="8" spans="1:8" x14ac:dyDescent="0.45">
      <c r="A8" s="1" t="s">
        <v>19</v>
      </c>
      <c r="B8" s="1" t="s">
        <v>17</v>
      </c>
      <c r="C8" s="1" t="s">
        <v>20</v>
      </c>
      <c r="D8" s="1">
        <v>9</v>
      </c>
      <c r="E8" s="2">
        <v>1800</v>
      </c>
      <c r="F8" s="2">
        <f t="shared" si="0"/>
        <v>7200</v>
      </c>
      <c r="G8" s="2">
        <f t="shared" si="1"/>
        <v>36</v>
      </c>
      <c r="H8" s="2">
        <f t="shared" si="2"/>
        <v>23436</v>
      </c>
    </row>
    <row r="9" spans="1:8" x14ac:dyDescent="0.45">
      <c r="A9" s="1" t="s">
        <v>21</v>
      </c>
      <c r="B9" s="1" t="s">
        <v>10</v>
      </c>
      <c r="C9" s="1" t="s">
        <v>13</v>
      </c>
      <c r="D9" s="1">
        <v>18</v>
      </c>
      <c r="E9" s="2">
        <v>2000</v>
      </c>
      <c r="F9" s="2">
        <f t="shared" si="0"/>
        <v>8000</v>
      </c>
      <c r="G9" s="2">
        <f t="shared" si="1"/>
        <v>40</v>
      </c>
      <c r="H9" s="2">
        <f t="shared" si="2"/>
        <v>44040</v>
      </c>
    </row>
    <row r="10" spans="1:8" x14ac:dyDescent="0.45">
      <c r="A10" s="1" t="s">
        <v>22</v>
      </c>
      <c r="B10" s="1" t="s">
        <v>10</v>
      </c>
      <c r="C10" s="1" t="s">
        <v>18</v>
      </c>
      <c r="D10" s="1">
        <v>22</v>
      </c>
      <c r="E10" s="2">
        <v>2500</v>
      </c>
      <c r="F10" s="2">
        <f t="shared" si="0"/>
        <v>10000</v>
      </c>
      <c r="G10" s="2">
        <f t="shared" si="1"/>
        <v>125</v>
      </c>
      <c r="H10" s="2">
        <f t="shared" si="2"/>
        <v>65125</v>
      </c>
    </row>
    <row r="11" spans="1:8" x14ac:dyDescent="0.45">
      <c r="A11" s="1" t="s">
        <v>23</v>
      </c>
      <c r="B11" s="1" t="s">
        <v>15</v>
      </c>
      <c r="C11" s="1" t="s">
        <v>20</v>
      </c>
      <c r="D11" s="1">
        <v>14</v>
      </c>
      <c r="E11" s="2">
        <v>1800</v>
      </c>
      <c r="F11" s="2">
        <f t="shared" si="0"/>
        <v>7200</v>
      </c>
      <c r="G11" s="2">
        <f t="shared" si="1"/>
        <v>36</v>
      </c>
      <c r="H11" s="2">
        <f t="shared" si="2"/>
        <v>32436</v>
      </c>
    </row>
    <row r="12" spans="1:8" x14ac:dyDescent="0.45">
      <c r="A12" s="1" t="s">
        <v>24</v>
      </c>
      <c r="B12" s="1" t="s">
        <v>10</v>
      </c>
      <c r="C12" s="1" t="s">
        <v>20</v>
      </c>
      <c r="D12" s="1">
        <v>7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19836</v>
      </c>
    </row>
    <row r="13" spans="1:8" x14ac:dyDescent="0.45">
      <c r="A13" s="1" t="s">
        <v>25</v>
      </c>
      <c r="B13" s="1" t="s">
        <v>17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5" spans="1:8" x14ac:dyDescent="0.45">
      <c r="A15" s="6" t="s">
        <v>70</v>
      </c>
      <c r="B15" s="6" t="s">
        <v>72</v>
      </c>
    </row>
    <row r="16" spans="1:8" x14ac:dyDescent="0.45">
      <c r="A16" s="6" t="s">
        <v>71</v>
      </c>
      <c r="B16" s="6" t="s">
        <v>73</v>
      </c>
    </row>
    <row r="20" spans="1:8" x14ac:dyDescent="0.45">
      <c r="A20" s="3" t="s">
        <v>1</v>
      </c>
      <c r="B20" s="3" t="s">
        <v>2</v>
      </c>
      <c r="C20" s="3" t="s">
        <v>3</v>
      </c>
      <c r="D20" s="3" t="s">
        <v>4</v>
      </c>
      <c r="E20" s="3" t="s">
        <v>5</v>
      </c>
      <c r="F20" s="3" t="s">
        <v>6</v>
      </c>
      <c r="G20" s="3" t="s">
        <v>7</v>
      </c>
      <c r="H20" s="3" t="s">
        <v>8</v>
      </c>
    </row>
    <row r="21" spans="1:8" x14ac:dyDescent="0.45">
      <c r="A21" s="1" t="s">
        <v>21</v>
      </c>
      <c r="B21" s="1" t="s">
        <v>10</v>
      </c>
      <c r="C21" s="1" t="s">
        <v>13</v>
      </c>
      <c r="D21" s="1">
        <v>18</v>
      </c>
      <c r="E21" s="2">
        <v>2000</v>
      </c>
      <c r="F21" s="2">
        <v>8000</v>
      </c>
      <c r="G21" s="2">
        <v>40</v>
      </c>
      <c r="H21" s="2">
        <v>44040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E23"/>
  <sheetViews>
    <sheetView workbookViewId="0">
      <selection sqref="A1:E1"/>
    </sheetView>
  </sheetViews>
  <sheetFormatPr defaultRowHeight="17" x14ac:dyDescent="0.45"/>
  <cols>
    <col min="5" max="5" width="10.4140625" bestFit="1" customWidth="1"/>
  </cols>
  <sheetData>
    <row r="1" spans="1:5" ht="21" x14ac:dyDescent="0.45">
      <c r="A1" s="7" t="s">
        <v>26</v>
      </c>
      <c r="B1" s="7"/>
      <c r="C1" s="7"/>
      <c r="D1" s="7"/>
      <c r="E1" s="7"/>
    </row>
    <row r="3" spans="1:5" x14ac:dyDescent="0.45">
      <c r="A3" s="3" t="s">
        <v>27</v>
      </c>
      <c r="B3" s="3" t="s">
        <v>28</v>
      </c>
      <c r="C3" s="3" t="s">
        <v>29</v>
      </c>
      <c r="D3" s="3" t="s">
        <v>30</v>
      </c>
      <c r="E3" s="3" t="s">
        <v>31</v>
      </c>
    </row>
    <row r="4" spans="1:5" x14ac:dyDescent="0.45">
      <c r="A4" s="1" t="s">
        <v>32</v>
      </c>
      <c r="B4" s="1" t="s">
        <v>33</v>
      </c>
      <c r="C4" s="2">
        <v>800</v>
      </c>
      <c r="D4" s="4">
        <v>0</v>
      </c>
      <c r="E4" s="2">
        <v>1000</v>
      </c>
    </row>
    <row r="5" spans="1:5" x14ac:dyDescent="0.45">
      <c r="A5" s="1" t="s">
        <v>34</v>
      </c>
      <c r="B5" s="1" t="s">
        <v>35</v>
      </c>
      <c r="C5" s="2">
        <v>2000</v>
      </c>
      <c r="D5" s="4">
        <v>0.04</v>
      </c>
      <c r="E5" s="2">
        <v>2500</v>
      </c>
    </row>
    <row r="6" spans="1:5" x14ac:dyDescent="0.45">
      <c r="A6" s="1" t="s">
        <v>36</v>
      </c>
      <c r="B6" s="1" t="s">
        <v>37</v>
      </c>
      <c r="C6" s="2">
        <v>960</v>
      </c>
      <c r="D6" s="4">
        <v>0</v>
      </c>
      <c r="E6" s="2">
        <v>1200</v>
      </c>
    </row>
    <row r="7" spans="1:5" x14ac:dyDescent="0.45">
      <c r="A7" s="1" t="s">
        <v>38</v>
      </c>
      <c r="B7" s="1" t="s">
        <v>33</v>
      </c>
      <c r="C7" s="2">
        <v>720</v>
      </c>
      <c r="D7" s="4">
        <v>0</v>
      </c>
      <c r="E7" s="2">
        <v>900</v>
      </c>
    </row>
    <row r="8" spans="1:5" x14ac:dyDescent="0.45">
      <c r="A8" s="1" t="s">
        <v>39</v>
      </c>
      <c r="B8" s="1" t="s">
        <v>35</v>
      </c>
      <c r="C8" s="2">
        <v>720</v>
      </c>
      <c r="D8" s="4">
        <v>0.02</v>
      </c>
      <c r="E8" s="2">
        <v>1500</v>
      </c>
    </row>
    <row r="9" spans="1:5" x14ac:dyDescent="0.45">
      <c r="A9" s="1" t="s">
        <v>40</v>
      </c>
      <c r="B9" s="1" t="s">
        <v>37</v>
      </c>
      <c r="C9" s="2">
        <v>2800</v>
      </c>
      <c r="D9" s="4">
        <v>0.04</v>
      </c>
      <c r="E9" s="2">
        <v>3500</v>
      </c>
    </row>
    <row r="10" spans="1:5" x14ac:dyDescent="0.45">
      <c r="A10" s="1" t="s">
        <v>32</v>
      </c>
      <c r="B10" s="1" t="s">
        <v>33</v>
      </c>
      <c r="C10" s="2">
        <v>800</v>
      </c>
      <c r="D10" s="4">
        <v>0</v>
      </c>
      <c r="E10" s="2">
        <v>1000</v>
      </c>
    </row>
    <row r="11" spans="1:5" x14ac:dyDescent="0.45">
      <c r="A11" s="1" t="s">
        <v>34</v>
      </c>
      <c r="B11" s="1" t="s">
        <v>35</v>
      </c>
      <c r="C11" s="2">
        <v>2000</v>
      </c>
      <c r="D11" s="4">
        <v>0.04</v>
      </c>
      <c r="E11" s="2">
        <v>2500</v>
      </c>
    </row>
    <row r="12" spans="1:5" x14ac:dyDescent="0.45">
      <c r="A12" s="1" t="s">
        <v>41</v>
      </c>
      <c r="B12" s="1" t="s">
        <v>37</v>
      </c>
      <c r="C12" s="2">
        <v>1200</v>
      </c>
      <c r="D12" s="4">
        <v>0.02</v>
      </c>
      <c r="E12" s="2">
        <v>1500</v>
      </c>
    </row>
    <row r="14" spans="1:5" x14ac:dyDescent="0.45">
      <c r="A14" s="6" t="s">
        <v>74</v>
      </c>
      <c r="B14" s="6" t="s">
        <v>76</v>
      </c>
      <c r="C14" s="6" t="s">
        <v>76</v>
      </c>
    </row>
    <row r="15" spans="1:5" x14ac:dyDescent="0.45">
      <c r="A15" s="6" t="s">
        <v>75</v>
      </c>
      <c r="B15" s="6"/>
      <c r="C15" s="6"/>
    </row>
    <row r="16" spans="1:5" x14ac:dyDescent="0.45">
      <c r="A16" s="6"/>
      <c r="B16" s="6" t="s">
        <v>77</v>
      </c>
      <c r="C16" s="6" t="s">
        <v>78</v>
      </c>
    </row>
    <row r="18" spans="1:4" x14ac:dyDescent="0.45">
      <c r="A18" s="3" t="s">
        <v>80</v>
      </c>
      <c r="B18" s="3" t="s">
        <v>28</v>
      </c>
      <c r="C18" s="3" t="s">
        <v>29</v>
      </c>
      <c r="D18" s="3" t="s">
        <v>30</v>
      </c>
    </row>
    <row r="19" spans="1:4" x14ac:dyDescent="0.45">
      <c r="A19" s="1" t="s">
        <v>34</v>
      </c>
      <c r="B19" s="1" t="s">
        <v>35</v>
      </c>
      <c r="C19" s="2">
        <v>2000</v>
      </c>
      <c r="D19" s="4">
        <v>0.04</v>
      </c>
    </row>
    <row r="20" spans="1:4" x14ac:dyDescent="0.45">
      <c r="A20" s="1" t="s">
        <v>36</v>
      </c>
      <c r="B20" s="1" t="s">
        <v>37</v>
      </c>
      <c r="C20" s="2">
        <v>960</v>
      </c>
      <c r="D20" s="4">
        <v>0</v>
      </c>
    </row>
    <row r="21" spans="1:4" x14ac:dyDescent="0.45">
      <c r="A21" s="1" t="s">
        <v>39</v>
      </c>
      <c r="B21" s="1" t="s">
        <v>35</v>
      </c>
      <c r="C21" s="2">
        <v>720</v>
      </c>
      <c r="D21" s="4">
        <v>0.02</v>
      </c>
    </row>
    <row r="22" spans="1:4" x14ac:dyDescent="0.45">
      <c r="A22" s="1" t="s">
        <v>34</v>
      </c>
      <c r="B22" s="1" t="s">
        <v>35</v>
      </c>
      <c r="C22" s="2">
        <v>2000</v>
      </c>
      <c r="D22" s="4">
        <v>0.04</v>
      </c>
    </row>
    <row r="23" spans="1:4" x14ac:dyDescent="0.45">
      <c r="A23" s="1" t="s">
        <v>41</v>
      </c>
      <c r="B23" s="1" t="s">
        <v>37</v>
      </c>
      <c r="C23" s="2">
        <v>1200</v>
      </c>
      <c r="D23" s="4">
        <v>0.02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G23"/>
  <sheetViews>
    <sheetView workbookViewId="0">
      <selection sqref="A1:G1"/>
    </sheetView>
  </sheetViews>
  <sheetFormatPr defaultRowHeight="17" x14ac:dyDescent="0.45"/>
  <cols>
    <col min="3" max="3" width="10.75" bestFit="1" customWidth="1"/>
    <col min="4" max="4" width="10.58203125" bestFit="1" customWidth="1"/>
    <col min="6" max="7" width="10.4140625" bestFit="1" customWidth="1"/>
  </cols>
  <sheetData>
    <row r="1" spans="1:7" ht="21" x14ac:dyDescent="0.45">
      <c r="A1" s="7" t="s">
        <v>42</v>
      </c>
      <c r="B1" s="7"/>
      <c r="C1" s="7"/>
      <c r="D1" s="7"/>
      <c r="E1" s="7"/>
      <c r="F1" s="7"/>
      <c r="G1" s="7"/>
    </row>
    <row r="3" spans="1:7" x14ac:dyDescent="0.45">
      <c r="A3" s="3" t="s">
        <v>43</v>
      </c>
      <c r="B3" s="3" t="s">
        <v>44</v>
      </c>
      <c r="C3" s="3" t="s">
        <v>45</v>
      </c>
      <c r="D3" s="3" t="s">
        <v>46</v>
      </c>
      <c r="E3" s="3" t="s">
        <v>47</v>
      </c>
      <c r="F3" s="3" t="s">
        <v>48</v>
      </c>
      <c r="G3" s="3" t="s">
        <v>49</v>
      </c>
    </row>
    <row r="4" spans="1:7" x14ac:dyDescent="0.45">
      <c r="A4" s="1" t="s">
        <v>69</v>
      </c>
      <c r="B4" s="1" t="s">
        <v>50</v>
      </c>
      <c r="C4" s="5">
        <v>31219</v>
      </c>
      <c r="D4" s="2">
        <v>950000</v>
      </c>
      <c r="E4" s="1">
        <v>20</v>
      </c>
      <c r="F4" s="1">
        <v>190</v>
      </c>
      <c r="G4" s="1">
        <v>80</v>
      </c>
    </row>
    <row r="5" spans="1:7" x14ac:dyDescent="0.45">
      <c r="A5" s="1" t="s">
        <v>51</v>
      </c>
      <c r="B5" s="1" t="s">
        <v>52</v>
      </c>
      <c r="C5" s="5">
        <v>33939</v>
      </c>
      <c r="D5" s="2">
        <v>950000</v>
      </c>
      <c r="E5" s="1">
        <v>45</v>
      </c>
      <c r="F5" s="1">
        <v>190</v>
      </c>
      <c r="G5" s="1">
        <v>70</v>
      </c>
    </row>
    <row r="6" spans="1:7" x14ac:dyDescent="0.45">
      <c r="A6" s="1" t="s">
        <v>53</v>
      </c>
      <c r="B6" s="1" t="s">
        <v>54</v>
      </c>
      <c r="C6" s="5">
        <v>32284</v>
      </c>
      <c r="D6" s="2">
        <v>1300000</v>
      </c>
      <c r="E6" s="1">
        <v>60</v>
      </c>
      <c r="F6" s="1">
        <v>260</v>
      </c>
      <c r="G6" s="1">
        <v>50</v>
      </c>
    </row>
    <row r="7" spans="1:7" x14ac:dyDescent="0.45">
      <c r="A7" s="1" t="s">
        <v>55</v>
      </c>
      <c r="B7" s="1" t="s">
        <v>56</v>
      </c>
      <c r="C7" s="5">
        <v>32957</v>
      </c>
      <c r="D7" s="2">
        <v>900000</v>
      </c>
      <c r="E7" s="1">
        <v>50</v>
      </c>
      <c r="F7" s="1">
        <v>180</v>
      </c>
      <c r="G7" s="1">
        <v>65</v>
      </c>
    </row>
    <row r="8" spans="1:7" x14ac:dyDescent="0.45">
      <c r="A8" s="1" t="s">
        <v>57</v>
      </c>
      <c r="B8" s="1" t="s">
        <v>58</v>
      </c>
      <c r="C8" s="5">
        <v>31537</v>
      </c>
      <c r="D8" s="2">
        <v>775000</v>
      </c>
      <c r="E8" s="1">
        <v>43</v>
      </c>
      <c r="F8" s="1">
        <v>155</v>
      </c>
      <c r="G8" s="1">
        <v>85</v>
      </c>
    </row>
    <row r="9" spans="1:7" x14ac:dyDescent="0.45">
      <c r="A9" s="1" t="s">
        <v>59</v>
      </c>
      <c r="B9" s="1" t="s">
        <v>60</v>
      </c>
      <c r="C9" s="5">
        <v>32034</v>
      </c>
      <c r="D9" s="2">
        <v>755000</v>
      </c>
      <c r="E9" s="1">
        <v>35</v>
      </c>
      <c r="F9" s="1">
        <v>151</v>
      </c>
      <c r="G9" s="1">
        <v>75</v>
      </c>
    </row>
    <row r="10" spans="1:7" x14ac:dyDescent="0.45">
      <c r="A10" s="1" t="s">
        <v>61</v>
      </c>
      <c r="B10" s="1" t="s">
        <v>62</v>
      </c>
      <c r="C10" s="5">
        <v>33383</v>
      </c>
      <c r="D10" s="2">
        <v>805000</v>
      </c>
      <c r="E10" s="1">
        <v>25</v>
      </c>
      <c r="F10" s="1">
        <v>161</v>
      </c>
      <c r="G10" s="1">
        <v>25</v>
      </c>
    </row>
    <row r="11" spans="1:7" x14ac:dyDescent="0.45">
      <c r="A11" s="1" t="s">
        <v>63</v>
      </c>
      <c r="B11" s="1" t="s">
        <v>64</v>
      </c>
      <c r="C11" s="5">
        <v>35203</v>
      </c>
      <c r="D11" s="2">
        <v>500000</v>
      </c>
      <c r="E11" s="1">
        <v>30</v>
      </c>
      <c r="F11" s="1">
        <v>100</v>
      </c>
      <c r="G11" s="1">
        <v>35</v>
      </c>
    </row>
    <row r="12" spans="1:7" x14ac:dyDescent="0.45">
      <c r="A12" s="1" t="s">
        <v>65</v>
      </c>
      <c r="B12" s="1" t="s">
        <v>66</v>
      </c>
      <c r="C12" s="5">
        <v>36001</v>
      </c>
      <c r="D12" s="2">
        <v>1250000</v>
      </c>
      <c r="E12" s="1">
        <v>40</v>
      </c>
      <c r="F12" s="1">
        <v>250</v>
      </c>
      <c r="G12" s="1">
        <v>85</v>
      </c>
    </row>
    <row r="13" spans="1:7" x14ac:dyDescent="0.45">
      <c r="A13" s="1" t="s">
        <v>67</v>
      </c>
      <c r="B13" s="1" t="s">
        <v>68</v>
      </c>
      <c r="C13" s="5">
        <v>33327</v>
      </c>
      <c r="D13" s="2">
        <v>1000000</v>
      </c>
      <c r="E13" s="1">
        <v>45</v>
      </c>
      <c r="F13" s="1">
        <v>200</v>
      </c>
      <c r="G13" s="1">
        <v>98</v>
      </c>
    </row>
    <row r="15" spans="1:7" x14ac:dyDescent="0.45">
      <c r="A15" s="6" t="s">
        <v>79</v>
      </c>
    </row>
    <row r="16" spans="1:7" x14ac:dyDescent="0.45">
      <c r="A16" t="b">
        <f>MONTH(C4)=5</f>
        <v>0</v>
      </c>
    </row>
    <row r="19" spans="1:7" x14ac:dyDescent="0.45">
      <c r="A19" s="3" t="s">
        <v>43</v>
      </c>
      <c r="B19" s="3" t="s">
        <v>44</v>
      </c>
      <c r="C19" s="3" t="s">
        <v>45</v>
      </c>
      <c r="D19" s="3" t="s">
        <v>46</v>
      </c>
      <c r="E19" s="3" t="s">
        <v>47</v>
      </c>
      <c r="F19" s="3" t="s">
        <v>48</v>
      </c>
      <c r="G19" s="3" t="s">
        <v>49</v>
      </c>
    </row>
    <row r="20" spans="1:7" x14ac:dyDescent="0.45">
      <c r="A20" s="1" t="s">
        <v>53</v>
      </c>
      <c r="B20" s="1" t="s">
        <v>54</v>
      </c>
      <c r="C20" s="5">
        <v>32284</v>
      </c>
      <c r="D20" s="2">
        <v>1300000</v>
      </c>
      <c r="E20" s="1">
        <v>60</v>
      </c>
      <c r="F20" s="1">
        <v>260</v>
      </c>
      <c r="G20" s="1">
        <v>50</v>
      </c>
    </row>
    <row r="21" spans="1:7" x14ac:dyDescent="0.45">
      <c r="A21" s="1" t="s">
        <v>57</v>
      </c>
      <c r="B21" s="1" t="s">
        <v>58</v>
      </c>
      <c r="C21" s="5">
        <v>31537</v>
      </c>
      <c r="D21" s="2">
        <v>775000</v>
      </c>
      <c r="E21" s="1">
        <v>43</v>
      </c>
      <c r="F21" s="1">
        <v>155</v>
      </c>
      <c r="G21" s="1">
        <v>85</v>
      </c>
    </row>
    <row r="22" spans="1:7" x14ac:dyDescent="0.45">
      <c r="A22" s="1" t="s">
        <v>61</v>
      </c>
      <c r="B22" s="1" t="s">
        <v>62</v>
      </c>
      <c r="C22" s="5">
        <v>33383</v>
      </c>
      <c r="D22" s="2">
        <v>805000</v>
      </c>
      <c r="E22" s="1">
        <v>25</v>
      </c>
      <c r="F22" s="1">
        <v>161</v>
      </c>
      <c r="G22" s="1">
        <v>25</v>
      </c>
    </row>
    <row r="23" spans="1:7" x14ac:dyDescent="0.45">
      <c r="A23" s="1" t="s">
        <v>63</v>
      </c>
      <c r="B23" s="1" t="s">
        <v>64</v>
      </c>
      <c r="C23" s="5">
        <v>35203</v>
      </c>
      <c r="D23" s="2">
        <v>500000</v>
      </c>
      <c r="E23" s="1">
        <v>30</v>
      </c>
      <c r="F23" s="1">
        <v>100</v>
      </c>
      <c r="G23" s="1">
        <v>35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무작정따라하기</vt:lpstr>
      <vt:lpstr>무작정따라하기2</vt:lpstr>
      <vt:lpstr>기출01</vt:lpstr>
      <vt:lpstr>기출02</vt:lpstr>
      <vt:lpstr>기출01!Criteria</vt:lpstr>
      <vt:lpstr>기출02!Criteria</vt:lpstr>
      <vt:lpstr>무작정따라하기2!Criteria</vt:lpstr>
      <vt:lpstr>기출01!Extract</vt:lpstr>
      <vt:lpstr>기출02!Extract</vt:lpstr>
      <vt:lpstr>무작정따라하기2!Extract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2023-10-14T01:19:24Z</dcterms:modified>
</cp:coreProperties>
</file>